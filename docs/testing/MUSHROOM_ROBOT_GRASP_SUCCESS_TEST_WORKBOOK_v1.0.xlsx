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333f48105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Record" sheetId="1" r:id="R3cbe112425d74595"/>
    <x:sheet xmlns:r="http://schemas.openxmlformats.org/officeDocument/2006/relationships" name="Round_Summary" sheetId="2" r:id="R4921e947eba74f30"/>
    <x:sheet xmlns:r="http://schemas.openxmlformats.org/officeDocument/2006/relationships" name="Overall_Summary" sheetId="3" r:id="Ra5ad64fa97cf4bf0"/>
    <x:sheet xmlns:r="http://schemas.openxmlformats.org/officeDocument/2006/relationships" name="Failure_Analysis" sheetId="4" r:id="Rb616a0dbb13d41ac"/>
    <x:sheet xmlns:r="http://schemas.openxmlformats.org/officeDocument/2006/relationships" name="Config" sheetId="5" r:id="R4d5dee6fc9174863"/>
    <x:sheet xmlns:r="http://schemas.openxmlformats.org/officeDocument/2006/relationships" name="Instructions" sheetId="6" r:id="Ra76d76427ffe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%"/>
  </x:numFmts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FFFFFF"/>
      <x:name val="Carlito"/>
    </x:font>
    <x:font>
      <x:sz val="9"/>
      <x:color rgb="FF1F2937"/>
      <x:name val="Aptos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Aptos Display"/>
    </x:font>
    <x:font>
      <x:sz val="10"/>
      <x:color rgb="FF1F293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A7F7F"/>
      </x:patternFill>
    </x:fill>
    <x:fill>
      <x:patternFill patternType="solid">
        <x:fgColor rgb="FFF7FBFC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7F9FB"/>
      </x:patternFill>
    </x:fill>
    <x:fill>
      <x:patternFill patternType="solid">
        <x:fgColor rgb="FFEAF2F8"/>
      </x:patternFill>
    </x:fill>
    <x:fill>
      <x:patternFill patternType="solid">
        <x:fgColor rgb="FFFFF9E6"/>
      </x:patternFill>
    </x:fill>
    <x:fill>
      <x:patternFill patternType="solid">
        <x:fgColor rgb="FFFFFDF5"/>
      </x:patternFill>
    </x:fill>
  </x:fills>
  <x:borders count="9">
    <x:border/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20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2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/>
    </x:xf>
    <x:xf numFmtId="202" fontId="7" fillId="0" borderId="0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 applyAlignment="1">
      <x:alignment horizontal="center"/>
    </x:xf>
    <x:xf numFmtId="200" fontId="7" fillId="0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9" fillId="7" borderId="4" xfId="0" applyNumberFormat="1" applyFont="1" applyFill="1" applyBorder="1" applyAlignment="1">
      <x:alignment horizontal="right"/>
    </x:xf>
    <x:xf numFmtId="0" fontId="9" fillId="7" borderId="5" xfId="0" applyNumberFormat="1" applyFont="1" applyFill="1" applyBorder="1" applyAlignment="1">
      <x:alignment horizontal="right"/>
    </x:xf>
    <x:xf numFmtId="0" fontId="9" fillId="7" borderId="6" xfId="0" applyNumberFormat="1" applyFont="1" applyFill="1" applyBorder="1" applyAlignment="1">
      <x:alignment horizontal="right"/>
    </x:xf>
    <x:xf numFmtId="200" fontId="9" fillId="7" borderId="4" xfId="0" applyNumberFormat="1" applyFont="1" applyFill="1" applyBorder="1" applyAlignment="1">
      <x:alignment horizontal="right"/>
    </x:xf>
    <x:xf numFmtId="200" fontId="9" fillId="7" borderId="5" xfId="0" applyNumberFormat="1" applyFont="1" applyFill="1" applyBorder="1" applyAlignment="1">
      <x:alignment horizontal="right"/>
    </x:xf>
    <x:xf numFmtId="200" fontId="9" fillId="7" borderId="6" xfId="0" applyNumberFormat="1" applyFont="1" applyFill="1" applyBorder="1" applyAlignment="1">
      <x:alignment horizontal="right"/>
    </x:xf>
    <x:xf numFmtId="202" fontId="9" fillId="7" borderId="4" xfId="0" applyNumberFormat="1" applyFont="1" applyFill="1" applyBorder="1" applyAlignment="1">
      <x:alignment horizontal="right"/>
    </x:xf>
    <x:xf numFmtId="202" fontId="9" fillId="7" borderId="5" xfId="0" applyNumberFormat="1" applyFont="1" applyFill="1" applyBorder="1" applyAlignment="1">
      <x:alignment horizontal="right"/>
    </x:xf>
    <x:xf numFmtId="202" fontId="9" fillId="7" borderId="6" xfId="0" applyNumberFormat="1" applyFont="1" applyFill="1" applyBorder="1" applyAlignment="1">
      <x:alignment horizontal="right"/>
    </x:xf>
    <x:xf numFmtId="201" fontId="9" fillId="7" borderId="5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7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10" fillId="4" borderId="0" xfId="0" applyNumberFormat="1" applyFont="1" applyFill="1" applyBorder="1" applyAlignment="1">
      <x:alignment horizontal="left" vertical="center"/>
    </x:xf>
    <x:xf numFmtId="0" fontId="9" fillId="8" borderId="8" xfId="0" applyNumberFormat="1" applyFont="1" applyFill="1" applyBorder="1"/>
    <x:xf numFmtId="202" fontId="0" fillId="0" borderId="0" xfId="0" applyNumberFormat="1" applyFont="1" applyFill="1" applyBorder="1"/>
    <x:xf numFmtId="202" fontId="9" fillId="8" borderId="8" xfId="0" applyNumberFormat="1" applyFont="1" applyFill="1" applyBorder="1"/>
    <x:xf numFmtId="200" fontId="9" fillId="8" borderId="8" xfId="0" applyNumberFormat="1" applyFont="1" applyFill="1" applyBorder="1"/>
    <x:xf numFmtId="202" fontId="4" fillId="0" borderId="0" xfId="0" applyNumberFormat="1" applyFont="1" applyFill="1" applyBorder="1"/>
    <x:xf numFmtId="0" fontId="3" fillId="8" borderId="8" xfId="0" applyNumberFormat="1" applyFont="1" applyFill="1" applyBorder="1"/>
    <x:xf numFmtId="200" fontId="3" fillId="8" borderId="8" xfId="0" applyNumberFormat="1" applyFont="1" applyFill="1" applyBorder="1"/>
    <x:xf numFmtId="202" fontId="3" fillId="8" borderId="8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1" xfId="0" applyNumberFormat="1" applyFont="1" applyFill="1" applyBorder="1"/>
    <x:xf numFmtId="0" fontId="11" fillId="9" borderId="2" xfId="0" applyNumberFormat="1" applyFont="1" applyFill="1" applyBorder="1"/>
    <x:xf numFmtId="0" fontId="11" fillId="9" borderId="3" xfId="0" applyNumberFormat="1" applyFont="1" applyFill="1" applyBorder="1"/>
    <x:xf numFmtId="0" fontId="11" fillId="9" borderId="1" xfId="0" applyNumberFormat="1" applyFont="1" applyFill="1" applyBorder="1" applyAlignment="1">
      <x:alignment wrapText="1"/>
    </x:xf>
    <x:xf numFmtId="0" fontId="11" fillId="9" borderId="2" xfId="0" applyNumberFormat="1" applyFont="1" applyFill="1" applyBorder="1" applyAlignment="1">
      <x:alignment wrapText="1"/>
    </x:xf>
    <x:xf numFmtId="0" fontId="11" fillId="9" borderId="3" xfId="0" applyNumberFormat="1" applyFont="1" applyFill="1" applyBorder="1" applyAlignment="1">
      <x:alignment wrapText="1"/>
    </x:xf>
    <x:xf numFmtId="0" fontId="11" fillId="9" borderId="1" xfId="0" applyNumberFormat="1" applyFont="1" applyFill="1" applyBorder="1" applyAlignment="1">
      <x:alignment vertical="top" wrapText="1"/>
    </x:xf>
    <x:xf numFmtId="0" fontId="11" fillId="9" borderId="2" xfId="0" applyNumberFormat="1" applyFont="1" applyFill="1" applyBorder="1" applyAlignment="1">
      <x:alignment vertical="top" wrapText="1"/>
    </x:xf>
    <x:xf numFmtId="0" fontId="11" fillId="9" borderId="3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center" vertical="center"/>
    </x:xf>
    <x:xf numFmtId="200" fontId="7" fillId="11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horizontal="center" vertical="center"/>
    </x:xf>
    <x:xf numFmtId="200" fontId="7" fillId="12" borderId="0" xfId="0" applyNumberFormat="1" applyFont="1" applyFill="1" applyBorder="1" applyAlignment="1">
      <x:alignment horizontal="center" vertical="center"/>
    </x:xf>
    <x:xf numFmtId="201" fontId="7" fillId="12" borderId="0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14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231fc45c640ff" /><Relationship Type="http://schemas.openxmlformats.org/officeDocument/2006/relationships/theme" Target="/xl/theme/theme1.xml" Id="R00bc3cc0295a42b6" /><Relationship Type="http://schemas.openxmlformats.org/officeDocument/2006/relationships/sharedStrings" Target="/xl/sharedStrings.xml" Id="Rb5910f8eb10949c8" /><Relationship Type="http://schemas.openxmlformats.org/officeDocument/2006/relationships/worksheet" Target="/xl/worksheets/sheet1.xml" Id="R3cbe112425d74595" /><Relationship Type="http://schemas.openxmlformats.org/officeDocument/2006/relationships/worksheet" Target="/xl/worksheets/sheet2.xml" Id="R4921e947eba74f30" /><Relationship Type="http://schemas.openxmlformats.org/officeDocument/2006/relationships/worksheet" Target="/xl/worksheets/sheet3.xml" Id="Ra5ad64fa97cf4bf0" /><Relationship Type="http://schemas.openxmlformats.org/officeDocument/2006/relationships/worksheet" Target="/xl/worksheets/sheet4.xml" Id="Rb616a0dbb13d41ac" /><Relationship Type="http://schemas.openxmlformats.org/officeDocument/2006/relationships/worksheet" Target="/xl/worksheets/sheet5.xml" Id="R4d5dee6fc9174863" /><Relationship Type="http://schemas.openxmlformats.org/officeDocument/2006/relationships/worksheet" Target="/xl/worksheets/sheet6.xml" Id="Ra76d76427ffe42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bce00319f4414c" /><Relationship Type="http://schemas.openxmlformats.org/officeDocument/2006/relationships/chart" Target="/xl/drawings/charts/chart2.xml" Id="R9afaa4349390468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7e06304224747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 Success Rates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End-to-End Success Rate</c:v>
          </c:tx>
          <c:cat>
            <c:strRef>
              <c:f>'Overall_Summary'!$D$26:$D$29</c:f>
              <c:strCache>
                <c:ptCount val="0"/>
              </c:strCache>
            </c:strRef>
          </c:cat>
          <c:val>
            <c:numRef>
              <c:f>'Overall_Summary'!$E$26:$E$29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Final Grasp Success Rate</c:v>
          </c:tx>
          <c:cat>
            <c:strRef>
              <c:f>'Overall_Summary'!$D$26:$D$29</c:f>
              <c:strCache>
                <c:ptCount val="0"/>
              </c:strCache>
            </c:strRef>
          </c:cat>
          <c:val>
            <c:numRef>
              <c:f>'Overall_Summary'!$F$26:$F$29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Normal vs Large Grasp Success Rate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First-Grasp Success Rate</c:v>
          </c:tx>
          <c:cat>
            <c:strRef>
              <c:f>'Overall_Summary'!$D$34:$D$35</c:f>
              <c:strCache>
                <c:ptCount val="0"/>
              </c:strCache>
            </c:strRef>
          </c:cat>
          <c:val>
            <c:numRef>
              <c:f>'Overall_Summary'!$E$34:$E$35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Final-Grasp Success Rate</c:v>
          </c:tx>
          <c:cat>
            <c:strRef>
              <c:f>'Overall_Summary'!$D$34:$D$35</c:f>
              <c:strCache>
                <c:ptCount val="0"/>
              </c:strCache>
            </c:strRef>
          </c:cat>
          <c:val>
            <c:numRef>
              <c:f>'Overall_Summary'!$F$34:$F$35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Failure Type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Failure Count</c:v>
          </c:tx>
          <c:cat>
            <c:strRef>
              <c:f>'Failure_Analysis'!$A$2:$A$14</c:f>
              <c:strCache>
                <c:ptCount val="0"/>
              </c:strCache>
            </c:strRef>
          </c:cat>
          <c:val>
            <c:numRef>
              <c:f>'Failure_Analysis'!$B$2:$B$14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ce00319f4414c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faa4349390468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e063042247476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RecordTable" displayName="TestRecordTable" ref="A1:R481" headerRowCount="1" totalsRowCount="0" totalsRowShown="0">
  <x:autoFilter ref="A1:R481"/>
  <x:tableColumns count="18">
    <x:tableColumn id="1" name="Round"/>
    <x:tableColumn id="2" name="Region"/>
    <x:tableColumn id="3" name="Region_Order"/>
    <x:tableColumn id="4" name="Object_ID"/>
    <x:tableColumn id="5" name="Ground_Truth_Size"/>
    <x:tableColumn id="6" name="Detected"/>
    <x:tableColumn id="7" name="Predicted_Size"/>
    <x:tableColumn id="8" name="System_Action"/>
    <x:tableColumn id="9" name="Pick_Attempts"/>
    <x:tableColumn id="10" name="First_Grasp_Success"/>
    <x:tableColumn id="11" name="Final_Grasp_Success"/>
    <x:tableColumn id="12" name="Dropped_During_Transfer"/>
    <x:tableColumn id="13" name="Placement_Target"/>
    <x:tableColumn id="14" name="Placement_Correct"/>
    <x:tableColumn id="15" name="Task_Success"/>
    <x:tableColumn id="16" name="Failure_Code"/>
    <x:tableColumn id="17" name="Processing_Time_s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ndSummaryTable" displayName="RoundSummaryTable" ref="A1:T41" headerRowCount="1" totalsRowCount="0" totalsRowShown="0">
  <x:autoFilter ref="A1:T41"/>
  <x:tableColumns count="20">
    <x:tableColumn id="1" name="Round"/>
    <x:tableColumn id="2" name="Region_Sequence"/>
    <x:tableColumn id="3" name="Total_Objects"/>
    <x:tableColumn id="4" name="Small_Count"/>
    <x:tableColumn id="5" name="Normal_Count"/>
    <x:tableColumn id="6" name="Large_Count"/>
    <x:tableColumn id="7" name="Small_Correct_Skip"/>
    <x:tableColumn id="8" name="Small_Skip_Rate"/>
    <x:tableColumn id="9" name="Pick_Attempts"/>
    <x:tableColumn id="10" name="First_Grasp_Success_Count"/>
    <x:tableColumn id="11" name="First_Grasp_Success_Rate"/>
    <x:tableColumn id="12" name="Final_Grasp_Success_Count"/>
    <x:tableColumn id="13" name="Final_Grasp_Success_Rate"/>
    <x:tableColumn id="14" name="Correct_Placement_Count"/>
    <x:tableColumn id="15" name="Placement_Success_Rate"/>
    <x:tableColumn id="16" name="Task_Success_Count"/>
    <x:tableColumn id="17" name="End_to_End_Success_Rate"/>
    <x:tableColumn id="18" name="Total_Processing_Time_s"/>
    <x:tableColumn id="19" name="Average_Time_Per_Object_s"/>
    <x:tableColumn id="2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ilureAnalysisTable" displayName="FailureAnalysisTable" ref="A1:J14" headerRowCount="1" totalsRowCount="0" totalsRowShown="0">
  <x:tableColumns count="10">
    <x:tableColumn id="1" name="Failure_Code"/>
    <x:tableColumn id="2" name="Failure Count"/>
    <x:tableColumn id="3" name="Percentage of All Failures"/>
    <x:tableColumn id="4" name="Small Count"/>
    <x:tableColumn id="5" name="Normal Count"/>
    <x:tableColumn id="6" name="Large Count"/>
    <x:tableColumn id="7" name="Region A"/>
    <x:tableColumn id="8" name="Region B"/>
    <x:tableColumn id="9" name="Region C"/>
    <x:tableColumn id="10" name="Region 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4d8e19463947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a0a0a9c30448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19410b2bf1448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30e6c985340424e" /><Relationship Type="http://schemas.openxmlformats.org/officeDocument/2006/relationships/table" Target="/xl/tables/table3.xml" Id="R8a24e508220849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6" hidden="0" customWidth="1"/>
    <x:col min="5" max="5" width="19" hidden="0" customWidth="1"/>
    <x:col min="6" max="6" width="11" hidden="0" customWidth="1"/>
    <x:col min="7" max="7" width="17" hidden="0" customWidth="1"/>
    <x:col min="8" max="8" width="16" hidden="0" customWidth="1"/>
    <x:col min="9" max="9" width="14" hidden="0" customWidth="1"/>
    <x:col min="10" max="10" width="20" hidden="0" customWidth="1"/>
    <x:col min="11" max="11" width="19" hidden="0" customWidth="1"/>
    <x:col min="12" max="12" width="24" hidden="0" customWidth="1"/>
    <x:col min="13" max="13" width="20" hidden="0" customWidth="1"/>
    <x:col min="14" max="14" width="20" hidden="0" customWidth="1"/>
    <x:col min="15" max="15" width="15" hidden="0" customWidth="1"/>
    <x:col min="16" max="16" width="17" hidden="0" customWidth="1"/>
    <x:col min="17" max="17" width="19" hidden="0" customWidth="1"/>
    <x:col min="18" max="18" width="34" hidden="0" customWidth="1"/>
  </x:cols>
  <x:sheetData>
    <x:row r="1" ht="34" customHeight="1">
      <x:c r="A1" s="28" t="str">
        <x:v>Round</x:v>
      </x:c>
      <x:c r="B1" s="29" t="str">
        <x:v>Region</x:v>
      </x:c>
      <x:c r="C1" s="29" t="str">
        <x:v>Region_Order</x:v>
      </x:c>
      <x:c r="D1" s="29" t="str">
        <x:v>Object_ID</x:v>
      </x:c>
      <x:c r="E1" s="29" t="str">
        <x:v>Ground_Truth_Size</x:v>
      </x:c>
      <x:c r="F1" s="29" t="str">
        <x:v>Detected</x:v>
      </x:c>
      <x:c r="G1" s="29" t="str">
        <x:v>Predicted_Size</x:v>
      </x:c>
      <x:c r="H1" s="29" t="str">
        <x:v>System_Action</x:v>
      </x:c>
      <x:c r="I1" s="29" t="str">
        <x:v>Pick_Attempts</x:v>
      </x:c>
      <x:c r="J1" s="29" t="str">
        <x:v>First_Grasp_Success</x:v>
      </x:c>
      <x:c r="K1" s="29" t="str">
        <x:v>Final_Grasp_Success</x:v>
      </x:c>
      <x:c r="L1" s="29" t="str">
        <x:v>Dropped_During_Transfer</x:v>
      </x:c>
      <x:c r="M1" s="29" t="str">
        <x:v>Placement_Target</x:v>
      </x:c>
      <x:c r="N1" s="29" t="str">
        <x:v>Placement_Correct</x:v>
      </x:c>
      <x:c r="O1" s="29" t="str">
        <x:v>Task_Success</x:v>
      </x:c>
      <x:c r="P1" s="29" t="str">
        <x:v>Failure_Code</x:v>
      </x:c>
      <x:c r="Q1" s="29" t="str">
        <x:v>Processing_Time_s</x:v>
      </x:c>
      <x:c r="R1" s="30" t="str">
        <x:v>Notes</x:v>
      </x:c>
    </x:row>
    <x:row r="2">
      <x:c r="A2" s="97" t="n">
        <x:v>1</x:v>
      </x:c>
      <x:c r="B2" s="98" t="str">
        <x:v>A</x:v>
      </x:c>
      <x:c r="C2" s="97" t="n">
        <x:v>1</x:v>
      </x:c>
      <x:c r="D2" s="96" t="str">
        <x:f>IF(OR(A2="",B2="",E2=""),"","R"&amp;TEXT(A2,"00")&amp;"-"&amp;B2&amp;"-"&amp;LEFT(E2,1)&amp;IF(COUNTIFS($A$2:A2,A2,$B$2:B2,B2,$E$2:E2,E2)&gt;1,"-"&amp;COUNTIFS($A$2:A2,A2,$B$2:B2,B2,$E$2:E2,E2),""))</x:f>
        <x:v>R01-A-S</x:v>
      </x:c>
      <x:c r="E2" s="99" t="str">
        <x:v>Small</x:v>
      </x:c>
      <x:c r="F2" s="99"/>
      <x:c r="G2" s="99"/>
      <x:c r="H2" s="99"/>
      <x:c r="I2" s="100" t="n">
        <x:v>0</x:v>
      </x:c>
      <x:c r="J2" s="99" t="str">
        <x:v>N/A</x:v>
      </x:c>
      <x:c r="K2" s="99" t="str">
        <x:v>N/A</x:v>
      </x:c>
      <x:c r="L2" s="99" t="str">
        <x:v>N/A</x:v>
      </x:c>
      <x:c r="M2" s="99" t="str">
        <x:v>N/A</x:v>
      </x:c>
      <x:c r="N2" s="99" t="str">
        <x:v>N/A</x:v>
      </x:c>
      <x:c r="O2" s="96" t="str">
        <x:f>IF(E2="","",IF(E2="Small",IF(OR(F2="",G2="",H2=""),"",IF(AND(F2="Yes",G2="Small",H2="Skip"),"Yes","No")),IF(OR(E2="Normal",E2="Large"),IF(OR(F2="",G2="",H2="",K2="",L2="",M2="",N2=""),"",IF(AND(F2="Yes",G2=E2,H2="Pick",K2="Yes",L2="No",M2=IF(E2="Normal","Normal_Bin","Large_Bin"),N2="Yes"),"Yes","No")),"")))</x:f>
      </x:c>
      <x:c r="P2" s="99" t="str">
        <x:v>NONE</x:v>
      </x:c>
      <x:c r="Q2" s="101"/>
      <x:c r="R2" s="102"/>
    </x:row>
    <x:row r="3">
      <x:c r="A3" s="97" t="n">
        <x:v>1</x:v>
      </x:c>
      <x:c r="B3" s="98" t="str">
        <x:v>A</x:v>
      </x:c>
      <x:c r="C3" s="97" t="n">
        <x:v>1</x:v>
      </x:c>
      <x:c r="D3" s="96" t="str">
        <x:f>IF(OR(A3="",B3="",E3=""),"","R"&amp;TEXT(A3,"00")&amp;"-"&amp;B3&amp;"-"&amp;LEFT(E3,1)&amp;IF(COUNTIFS($A$2:A3,A3,$B$2:B3,B3,$E$2:E3,E3)&gt;1,"-"&amp;COUNTIFS($A$2:A3,A3,$B$2:B3,B3,$E$2:E3,E3),""))</x:f>
        <x:v>R01-A-N</x:v>
      </x:c>
      <x:c r="E3" s="99" t="str">
        <x:v>Normal</x:v>
      </x:c>
      <x:c r="F3" s="99"/>
      <x:c r="G3" s="99"/>
      <x:c r="H3" s="99"/>
      <x:c r="I3" s="100"/>
      <x:c r="J3" s="99"/>
      <x:c r="K3" s="99"/>
      <x:c r="L3" s="99"/>
      <x:c r="M3" s="99"/>
      <x:c r="N3" s="99"/>
      <x:c r="O3" s="96" t="str">
        <x:f>IF(E3="","",IF(E3="Small",IF(OR(F3="",G3="",H3=""),"",IF(AND(F3="Yes",G3="Small",H3="Skip"),"Yes","No")),IF(OR(E3="Normal",E3="Large"),IF(OR(F3="",G3="",H3="",K3="",L3="",M3="",N3=""),"",IF(AND(F3="Yes",G3=E3,H3="Pick",K3="Yes",L3="No",M3=IF(E3="Normal","Normal_Bin","Large_Bin"),N3="Yes"),"Yes","No")),"")))</x:f>
      </x:c>
      <x:c r="P3" s="99" t="str">
        <x:v>NONE</x:v>
      </x:c>
      <x:c r="Q3" s="101"/>
      <x:c r="R3" s="102"/>
    </x:row>
    <x:row r="4">
      <x:c r="A4" s="97" t="n">
        <x:v>1</x:v>
      </x:c>
      <x:c r="B4" s="98" t="str">
        <x:v>A</x:v>
      </x:c>
      <x:c r="C4" s="97" t="n">
        <x:v>1</x:v>
      </x:c>
      <x:c r="D4" s="96" t="str">
        <x:f>IF(OR(A4="",B4="",E4=""),"","R"&amp;TEXT(A4,"00")&amp;"-"&amp;B4&amp;"-"&amp;LEFT(E4,1)&amp;IF(COUNTIFS($A$2:A4,A4,$B$2:B4,B4,$E$2:E4,E4)&gt;1,"-"&amp;COUNTIFS($A$2:A4,A4,$B$2:B4,B4,$E$2:E4,E4),""))</x:f>
        <x:v>R01-A-L</x:v>
      </x:c>
      <x:c r="E4" s="99" t="str">
        <x:v>Large</x:v>
      </x:c>
      <x:c r="F4" s="99"/>
      <x:c r="G4" s="99"/>
      <x:c r="H4" s="99"/>
      <x:c r="I4" s="100"/>
      <x:c r="J4" s="99"/>
      <x:c r="K4" s="99"/>
      <x:c r="L4" s="99"/>
      <x:c r="M4" s="99"/>
      <x:c r="N4" s="99"/>
      <x:c r="O4" s="96" t="str">
        <x:f>IF(E4="","",IF(E4="Small",IF(OR(F4="",G4="",H4=""),"",IF(AND(F4="Yes",G4="Small",H4="Skip"),"Yes","No")),IF(OR(E4="Normal",E4="Large"),IF(OR(F4="",G4="",H4="",K4="",L4="",M4="",N4=""),"",IF(AND(F4="Yes",G4=E4,H4="Pick",K4="Yes",L4="No",M4=IF(E4="Normal","Normal_Bin","Large_Bin"),N4="Yes"),"Yes","No")),"")))</x:f>
      </x:c>
      <x:c r="P4" s="99" t="str">
        <x:v>NONE</x:v>
      </x:c>
      <x:c r="Q4" s="101"/>
      <x:c r="R4" s="102"/>
    </x:row>
    <x:row r="5">
      <x:c r="A5" s="97" t="n">
        <x:v>1</x:v>
      </x:c>
      <x:c r="B5" s="98" t="str">
        <x:v>B</x:v>
      </x:c>
      <x:c r="C5" s="97" t="n">
        <x:v>2</x:v>
      </x:c>
      <x:c r="D5" s="96" t="str">
        <x:f>IF(OR(A5="",B5="",E5=""),"","R"&amp;TEXT(A5,"00")&amp;"-"&amp;B5&amp;"-"&amp;LEFT(E5,1)&amp;IF(COUNTIFS($A$2:A5,A5,$B$2:B5,B5,$E$2:E5,E5)&gt;1,"-"&amp;COUNTIFS($A$2:A5,A5,$B$2:B5,B5,$E$2:E5,E5),""))</x:f>
        <x:v>R01-B-S</x:v>
      </x:c>
      <x:c r="E5" s="99" t="str">
        <x:v>Small</x:v>
      </x:c>
      <x:c r="F5" s="99"/>
      <x:c r="G5" s="99"/>
      <x:c r="H5" s="99"/>
      <x:c r="I5" s="100" t="n">
        <x:v>0</x:v>
      </x:c>
      <x:c r="J5" s="99" t="str">
        <x:v>N/A</x:v>
      </x:c>
      <x:c r="K5" s="99" t="str">
        <x:v>N/A</x:v>
      </x:c>
      <x:c r="L5" s="99" t="str">
        <x:v>N/A</x:v>
      </x:c>
      <x:c r="M5" s="99" t="str">
        <x:v>N/A</x:v>
      </x:c>
      <x:c r="N5" s="99" t="str">
        <x:v>N/A</x:v>
      </x:c>
      <x:c r="O5" s="96" t="str">
        <x:f>IF(E5="","",IF(E5="Small",IF(OR(F5="",G5="",H5=""),"",IF(AND(F5="Yes",G5="Small",H5="Skip"),"Yes","No")),IF(OR(E5="Normal",E5="Large"),IF(OR(F5="",G5="",H5="",K5="",L5="",M5="",N5=""),"",IF(AND(F5="Yes",G5=E5,H5="Pick",K5="Yes",L5="No",M5=IF(E5="Normal","Normal_Bin","Large_Bin"),N5="Yes"),"Yes","No")),"")))</x:f>
      </x:c>
      <x:c r="P5" s="99" t="str">
        <x:v>NONE</x:v>
      </x:c>
      <x:c r="Q5" s="101"/>
      <x:c r="R5" s="102"/>
    </x:row>
    <x:row r="6">
      <x:c r="A6" s="97" t="n">
        <x:v>1</x:v>
      </x:c>
      <x:c r="B6" s="98" t="str">
        <x:v>B</x:v>
      </x:c>
      <x:c r="C6" s="97" t="n">
        <x:v>2</x:v>
      </x:c>
      <x:c r="D6" s="96" t="str">
        <x:f>IF(OR(A6="",B6="",E6=""),"","R"&amp;TEXT(A6,"00")&amp;"-"&amp;B6&amp;"-"&amp;LEFT(E6,1)&amp;IF(COUNTIFS($A$2:A6,A6,$B$2:B6,B6,$E$2:E6,E6)&gt;1,"-"&amp;COUNTIFS($A$2:A6,A6,$B$2:B6,B6,$E$2:E6,E6),""))</x:f>
        <x:v>R01-B-N</x:v>
      </x:c>
      <x:c r="E6" s="99" t="str">
        <x:v>Normal</x:v>
      </x:c>
      <x:c r="F6" s="99"/>
      <x:c r="G6" s="99"/>
      <x:c r="H6" s="99"/>
      <x:c r="I6" s="100"/>
      <x:c r="J6" s="99"/>
      <x:c r="K6" s="99"/>
      <x:c r="L6" s="99"/>
      <x:c r="M6" s="99"/>
      <x:c r="N6" s="99"/>
      <x:c r="O6" s="96" t="str">
        <x:f>IF(E6="","",IF(E6="Small",IF(OR(F6="",G6="",H6=""),"",IF(AND(F6="Yes",G6="Small",H6="Skip"),"Yes","No")),IF(OR(E6="Normal",E6="Large"),IF(OR(F6="",G6="",H6="",K6="",L6="",M6="",N6=""),"",IF(AND(F6="Yes",G6=E6,H6="Pick",K6="Yes",L6="No",M6=IF(E6="Normal","Normal_Bin","Large_Bin"),N6="Yes"),"Yes","No")),"")))</x:f>
      </x:c>
      <x:c r="P6" s="99" t="str">
        <x:v>NONE</x:v>
      </x:c>
      <x:c r="Q6" s="101"/>
      <x:c r="R6" s="102"/>
    </x:row>
    <x:row r="7">
      <x:c r="A7" s="97" t="n">
        <x:v>1</x:v>
      </x:c>
      <x:c r="B7" s="98" t="str">
        <x:v>B</x:v>
      </x:c>
      <x:c r="C7" s="97" t="n">
        <x:v>2</x:v>
      </x:c>
      <x:c r="D7" s="96" t="str">
        <x:f>IF(OR(A7="",B7="",E7=""),"","R"&amp;TEXT(A7,"00")&amp;"-"&amp;B7&amp;"-"&amp;LEFT(E7,1)&amp;IF(COUNTIFS($A$2:A7,A7,$B$2:B7,B7,$E$2:E7,E7)&gt;1,"-"&amp;COUNTIFS($A$2:A7,A7,$B$2:B7,B7,$E$2:E7,E7),""))</x:f>
        <x:v>R01-B-L</x:v>
      </x:c>
      <x:c r="E7" s="99" t="str">
        <x:v>Large</x:v>
      </x:c>
      <x:c r="F7" s="99"/>
      <x:c r="G7" s="99"/>
      <x:c r="H7" s="99"/>
      <x:c r="I7" s="100"/>
      <x:c r="J7" s="99"/>
      <x:c r="K7" s="99"/>
      <x:c r="L7" s="99"/>
      <x:c r="M7" s="99"/>
      <x:c r="N7" s="99"/>
      <x:c r="O7" s="96" t="str">
        <x:f>IF(E7="","",IF(E7="Small",IF(OR(F7="",G7="",H7=""),"",IF(AND(F7="Yes",G7="Small",H7="Skip"),"Yes","No")),IF(OR(E7="Normal",E7="Large"),IF(OR(F7="",G7="",H7="",K7="",L7="",M7="",N7=""),"",IF(AND(F7="Yes",G7=E7,H7="Pick",K7="Yes",L7="No",M7=IF(E7="Normal","Normal_Bin","Large_Bin"),N7="Yes"),"Yes","No")),"")))</x:f>
      </x:c>
      <x:c r="P7" s="99" t="str">
        <x:v>NONE</x:v>
      </x:c>
      <x:c r="Q7" s="101"/>
      <x:c r="R7" s="102"/>
    </x:row>
    <x:row r="8">
      <x:c r="A8" s="97" t="n">
        <x:v>1</x:v>
      </x:c>
      <x:c r="B8" s="98" t="str">
        <x:v>C</x:v>
      </x:c>
      <x:c r="C8" s="97" t="n">
        <x:v>3</x:v>
      </x:c>
      <x:c r="D8" s="96" t="str">
        <x:f>IF(OR(A8="",B8="",E8=""),"","R"&amp;TEXT(A8,"00")&amp;"-"&amp;B8&amp;"-"&amp;LEFT(E8,1)&amp;IF(COUNTIFS($A$2:A8,A8,$B$2:B8,B8,$E$2:E8,E8)&gt;1,"-"&amp;COUNTIFS($A$2:A8,A8,$B$2:B8,B8,$E$2:E8,E8),""))</x:f>
        <x:v>R01-C-S</x:v>
      </x:c>
      <x:c r="E8" s="99" t="str">
        <x:v>Small</x:v>
      </x:c>
      <x:c r="F8" s="99"/>
      <x:c r="G8" s="99"/>
      <x:c r="H8" s="99"/>
      <x:c r="I8" s="100" t="n">
        <x:v>0</x:v>
      </x:c>
      <x:c r="J8" s="99" t="str">
        <x:v>N/A</x:v>
      </x:c>
      <x:c r="K8" s="99" t="str">
        <x:v>N/A</x:v>
      </x:c>
      <x:c r="L8" s="99" t="str">
        <x:v>N/A</x:v>
      </x:c>
      <x:c r="M8" s="99" t="str">
        <x:v>N/A</x:v>
      </x:c>
      <x:c r="N8" s="99" t="str">
        <x:v>N/A</x:v>
      </x:c>
      <x:c r="O8" s="96" t="str">
        <x:f>IF(E8="","",IF(E8="Small",IF(OR(F8="",G8="",H8=""),"",IF(AND(F8="Yes",G8="Small",H8="Skip"),"Yes","No")),IF(OR(E8="Normal",E8="Large"),IF(OR(F8="",G8="",H8="",K8="",L8="",M8="",N8=""),"",IF(AND(F8="Yes",G8=E8,H8="Pick",K8="Yes",L8="No",M8=IF(E8="Normal","Normal_Bin","Large_Bin"),N8="Yes"),"Yes","No")),"")))</x:f>
      </x:c>
      <x:c r="P8" s="99" t="str">
        <x:v>NONE</x:v>
      </x:c>
      <x:c r="Q8" s="101"/>
      <x:c r="R8" s="102"/>
    </x:row>
    <x:row r="9">
      <x:c r="A9" s="97" t="n">
        <x:v>1</x:v>
      </x:c>
      <x:c r="B9" s="98" t="str">
        <x:v>C</x:v>
      </x:c>
      <x:c r="C9" s="97" t="n">
        <x:v>3</x:v>
      </x:c>
      <x:c r="D9" s="96" t="str">
        <x:f>IF(OR(A9="",B9="",E9=""),"","R"&amp;TEXT(A9,"00")&amp;"-"&amp;B9&amp;"-"&amp;LEFT(E9,1)&amp;IF(COUNTIFS($A$2:A9,A9,$B$2:B9,B9,$E$2:E9,E9)&gt;1,"-"&amp;COUNTIFS($A$2:A9,A9,$B$2:B9,B9,$E$2:E9,E9),""))</x:f>
        <x:v>R01-C-N</x:v>
      </x:c>
      <x:c r="E9" s="99" t="str">
        <x:v>Normal</x:v>
      </x:c>
      <x:c r="F9" s="99"/>
      <x:c r="G9" s="99"/>
      <x:c r="H9" s="99"/>
      <x:c r="I9" s="100"/>
      <x:c r="J9" s="99"/>
      <x:c r="K9" s="99"/>
      <x:c r="L9" s="99"/>
      <x:c r="M9" s="99"/>
      <x:c r="N9" s="99"/>
      <x:c r="O9" s="96" t="str">
        <x:f>IF(E9="","",IF(E9="Small",IF(OR(F9="",G9="",H9=""),"",IF(AND(F9="Yes",G9="Small",H9="Skip"),"Yes","No")),IF(OR(E9="Normal",E9="Large"),IF(OR(F9="",G9="",H9="",K9="",L9="",M9="",N9=""),"",IF(AND(F9="Yes",G9=E9,H9="Pick",K9="Yes",L9="No",M9=IF(E9="Normal","Normal_Bin","Large_Bin"),N9="Yes"),"Yes","No")),"")))</x:f>
      </x:c>
      <x:c r="P9" s="99" t="str">
        <x:v>NONE</x:v>
      </x:c>
      <x:c r="Q9" s="101"/>
      <x:c r="R9" s="102"/>
    </x:row>
    <x:row r="10">
      <x:c r="A10" s="97" t="n">
        <x:v>1</x:v>
      </x:c>
      <x:c r="B10" s="98" t="str">
        <x:v>C</x:v>
      </x:c>
      <x:c r="C10" s="97" t="n">
        <x:v>3</x:v>
      </x:c>
      <x:c r="D10" s="96" t="str">
        <x:f>IF(OR(A10="",B10="",E10=""),"","R"&amp;TEXT(A10,"00")&amp;"-"&amp;B10&amp;"-"&amp;LEFT(E10,1)&amp;IF(COUNTIFS($A$2:A10,A10,$B$2:B10,B10,$E$2:E10,E10)&gt;1,"-"&amp;COUNTIFS($A$2:A10,A10,$B$2:B10,B10,$E$2:E10,E10),""))</x:f>
        <x:v>R01-C-L</x:v>
      </x:c>
      <x:c r="E10" s="99" t="str">
        <x:v>Large</x:v>
      </x:c>
      <x:c r="F10" s="99"/>
      <x:c r="G10" s="99"/>
      <x:c r="H10" s="99"/>
      <x:c r="I10" s="100"/>
      <x:c r="J10" s="99"/>
      <x:c r="K10" s="99"/>
      <x:c r="L10" s="99"/>
      <x:c r="M10" s="99"/>
      <x:c r="N10" s="99"/>
      <x:c r="O10" s="96" t="str">
        <x:f>IF(E10="","",IF(E10="Small",IF(OR(F10="",G10="",H10=""),"",IF(AND(F10="Yes",G10="Small",H10="Skip"),"Yes","No")),IF(OR(E10="Normal",E10="Large"),IF(OR(F10="",G10="",H10="",K10="",L10="",M10="",N10=""),"",IF(AND(F10="Yes",G10=E10,H10="Pick",K10="Yes",L10="No",M10=IF(E10="Normal","Normal_Bin","Large_Bin"),N10="Yes"),"Yes","No")),"")))</x:f>
      </x:c>
      <x:c r="P10" s="99" t="str">
        <x:v>NONE</x:v>
      </x:c>
      <x:c r="Q10" s="101"/>
      <x:c r="R10" s="102"/>
    </x:row>
    <x:row r="11">
      <x:c r="A11" s="97" t="n">
        <x:v>1</x:v>
      </x:c>
      <x:c r="B11" s="98" t="str">
        <x:v>D</x:v>
      </x:c>
      <x:c r="C11" s="97" t="n">
        <x:v>4</x:v>
      </x:c>
      <x:c r="D11" s="96" t="str">
        <x:f>IF(OR(A11="",B11="",E11=""),"","R"&amp;TEXT(A11,"00")&amp;"-"&amp;B11&amp;"-"&amp;LEFT(E11,1)&amp;IF(COUNTIFS($A$2:A11,A11,$B$2:B11,B11,$E$2:E11,E11)&gt;1,"-"&amp;COUNTIFS($A$2:A11,A11,$B$2:B11,B11,$E$2:E11,E11),""))</x:f>
        <x:v>R01-D-S</x:v>
      </x:c>
      <x:c r="E11" s="99" t="str">
        <x:v>Small</x:v>
      </x:c>
      <x:c r="F11" s="99"/>
      <x:c r="G11" s="99"/>
      <x:c r="H11" s="99"/>
      <x:c r="I11" s="100" t="n">
        <x:v>0</x:v>
      </x:c>
      <x:c r="J11" s="99" t="str">
        <x:v>N/A</x:v>
      </x:c>
      <x:c r="K11" s="99" t="str">
        <x:v>N/A</x:v>
      </x:c>
      <x:c r="L11" s="99" t="str">
        <x:v>N/A</x:v>
      </x:c>
      <x:c r="M11" s="99" t="str">
        <x:v>N/A</x:v>
      </x:c>
      <x:c r="N11" s="99" t="str">
        <x:v>N/A</x:v>
      </x:c>
      <x:c r="O11" s="96" t="str">
        <x:f>IF(E11="","",IF(E11="Small",IF(OR(F11="",G11="",H11=""),"",IF(AND(F11="Yes",G11="Small",H11="Skip"),"Yes","No")),IF(OR(E11="Normal",E11="Large"),IF(OR(F11="",G11="",H11="",K11="",L11="",M11="",N11=""),"",IF(AND(F11="Yes",G11=E11,H11="Pick",K11="Yes",L11="No",M11=IF(E11="Normal","Normal_Bin","Large_Bin"),N11="Yes"),"Yes","No")),"")))</x:f>
      </x:c>
      <x:c r="P11" s="99" t="str">
        <x:v>NONE</x:v>
      </x:c>
      <x:c r="Q11" s="101"/>
      <x:c r="R11" s="102"/>
    </x:row>
    <x:row r="12">
      <x:c r="A12" s="97" t="n">
        <x:v>1</x:v>
      </x:c>
      <x:c r="B12" s="98" t="str">
        <x:v>D</x:v>
      </x:c>
      <x:c r="C12" s="97" t="n">
        <x:v>4</x:v>
      </x:c>
      <x:c r="D12" s="96" t="str">
        <x:f>IF(OR(A12="",B12="",E12=""),"","R"&amp;TEXT(A12,"00")&amp;"-"&amp;B12&amp;"-"&amp;LEFT(E12,1)&amp;IF(COUNTIFS($A$2:A12,A12,$B$2:B12,B12,$E$2:E12,E12)&gt;1,"-"&amp;COUNTIFS($A$2:A12,A12,$B$2:B12,B12,$E$2:E12,E12),""))</x:f>
        <x:v>R01-D-N</x:v>
      </x:c>
      <x:c r="E12" s="99" t="str">
        <x:v>Normal</x:v>
      </x:c>
      <x:c r="F12" s="99"/>
      <x:c r="G12" s="99"/>
      <x:c r="H12" s="99"/>
      <x:c r="I12" s="100"/>
      <x:c r="J12" s="99"/>
      <x:c r="K12" s="99"/>
      <x:c r="L12" s="99"/>
      <x:c r="M12" s="99"/>
      <x:c r="N12" s="99"/>
      <x:c r="O12" s="96" t="str">
        <x:f>IF(E12="","",IF(E12="Small",IF(OR(F12="",G12="",H12=""),"",IF(AND(F12="Yes",G12="Small",H12="Skip"),"Yes","No")),IF(OR(E12="Normal",E12="Large"),IF(OR(F12="",G12="",H12="",K12="",L12="",M12="",N12=""),"",IF(AND(F12="Yes",G12=E12,H12="Pick",K12="Yes",L12="No",M12=IF(E12="Normal","Normal_Bin","Large_Bin"),N12="Yes"),"Yes","No")),"")))</x:f>
      </x:c>
      <x:c r="P12" s="99" t="str">
        <x:v>NONE</x:v>
      </x:c>
      <x:c r="Q12" s="101"/>
      <x:c r="R12" s="102"/>
    </x:row>
    <x:row r="13">
      <x:c r="A13" s="97" t="n">
        <x:v>1</x:v>
      </x:c>
      <x:c r="B13" s="98" t="str">
        <x:v>D</x:v>
      </x:c>
      <x:c r="C13" s="97" t="n">
        <x:v>4</x:v>
      </x:c>
      <x:c r="D13" s="96" t="str">
        <x:f>IF(OR(A13="",B13="",E13=""),"","R"&amp;TEXT(A13,"00")&amp;"-"&amp;B13&amp;"-"&amp;LEFT(E13,1)&amp;IF(COUNTIFS($A$2:A13,A13,$B$2:B13,B13,$E$2:E13,E13)&gt;1,"-"&amp;COUNTIFS($A$2:A13,A13,$B$2:B13,B13,$E$2:E13,E13),""))</x:f>
        <x:v>R01-D-L</x:v>
      </x:c>
      <x:c r="E13" s="99" t="str">
        <x:v>Large</x:v>
      </x:c>
      <x:c r="F13" s="99"/>
      <x:c r="G13" s="99"/>
      <x:c r="H13" s="99"/>
      <x:c r="I13" s="100"/>
      <x:c r="J13" s="99"/>
      <x:c r="K13" s="99"/>
      <x:c r="L13" s="99"/>
      <x:c r="M13" s="99"/>
      <x:c r="N13" s="99"/>
      <x:c r="O13" s="96" t="str">
        <x:f>IF(E13="","",IF(E13="Small",IF(OR(F13="",G13="",H13=""),"",IF(AND(F13="Yes",G13="Small",H13="Skip"),"Yes","No")),IF(OR(E13="Normal",E13="Large"),IF(OR(F13="",G13="",H13="",K13="",L13="",M13="",N13=""),"",IF(AND(F13="Yes",G13=E13,H13="Pick",K13="Yes",L13="No",M13=IF(E13="Normal","Normal_Bin","Large_Bin"),N13="Yes"),"Yes","No")),"")))</x:f>
      </x:c>
      <x:c r="P13" s="99" t="str">
        <x:v>NONE</x:v>
      </x:c>
      <x:c r="Q13" s="101"/>
      <x:c r="R13" s="102"/>
    </x:row>
    <x:row r="14">
      <x:c r="A14" s="97" t="n">
        <x:v>2</x:v>
      </x:c>
      <x:c r="B14" s="98" t="str">
        <x:v>B</x:v>
      </x:c>
      <x:c r="C14" s="97" t="n">
        <x:v>1</x:v>
      </x:c>
      <x:c r="D14" s="96" t="str">
        <x:f>IF(OR(A14="",B14="",E14=""),"","R"&amp;TEXT(A14,"00")&amp;"-"&amp;B14&amp;"-"&amp;LEFT(E14,1)&amp;IF(COUNTIFS($A$2:A14,A14,$B$2:B14,B14,$E$2:E14,E14)&gt;1,"-"&amp;COUNTIFS($A$2:A14,A14,$B$2:B14,B14,$E$2:E14,E14),""))</x:f>
        <x:v>R02-B-S</x:v>
      </x:c>
      <x:c r="E14" s="99" t="str">
        <x:v>Small</x:v>
      </x:c>
      <x:c r="F14" s="99"/>
      <x:c r="G14" s="99"/>
      <x:c r="H14" s="99"/>
      <x:c r="I14" s="100" t="n">
        <x:v>0</x:v>
      </x:c>
      <x:c r="J14" s="99" t="str">
        <x:v>N/A</x:v>
      </x:c>
      <x:c r="K14" s="99" t="str">
        <x:v>N/A</x:v>
      </x:c>
      <x:c r="L14" s="99" t="str">
        <x:v>N/A</x:v>
      </x:c>
      <x:c r="M14" s="99" t="str">
        <x:v>N/A</x:v>
      </x:c>
      <x:c r="N14" s="99" t="str">
        <x:v>N/A</x:v>
      </x:c>
      <x:c r="O14" s="96" t="str">
        <x:f>IF(E14="","",IF(E14="Small",IF(OR(F14="",G14="",H14=""),"",IF(AND(F14="Yes",G14="Small",H14="Skip"),"Yes","No")),IF(OR(E14="Normal",E14="Large"),IF(OR(F14="",G14="",H14="",K14="",L14="",M14="",N14=""),"",IF(AND(F14="Yes",G14=E14,H14="Pick",K14="Yes",L14="No",M14=IF(E14="Normal","Normal_Bin","Large_Bin"),N14="Yes"),"Yes","No")),"")))</x:f>
      </x:c>
      <x:c r="P14" s="99" t="str">
        <x:v>NONE</x:v>
      </x:c>
      <x:c r="Q14" s="101"/>
      <x:c r="R14" s="102"/>
    </x:row>
    <x:row r="15">
      <x:c r="A15" s="97" t="n">
        <x:v>2</x:v>
      </x:c>
      <x:c r="B15" s="98" t="str">
        <x:v>B</x:v>
      </x:c>
      <x:c r="C15" s="97" t="n">
        <x:v>1</x:v>
      </x:c>
      <x:c r="D15" s="96" t="str">
        <x:f>IF(OR(A15="",B15="",E15=""),"","R"&amp;TEXT(A15,"00")&amp;"-"&amp;B15&amp;"-"&amp;LEFT(E15,1)&amp;IF(COUNTIFS($A$2:A15,A15,$B$2:B15,B15,$E$2:E15,E15)&gt;1,"-"&amp;COUNTIFS($A$2:A15,A15,$B$2:B15,B15,$E$2:E15,E15),""))</x:f>
        <x:v>R02-B-N</x:v>
      </x:c>
      <x:c r="E15" s="99" t="str">
        <x:v>Normal</x:v>
      </x:c>
      <x:c r="F15" s="99"/>
      <x:c r="G15" s="99"/>
      <x:c r="H15" s="99"/>
      <x:c r="I15" s="100"/>
      <x:c r="J15" s="99"/>
      <x:c r="K15" s="99"/>
      <x:c r="L15" s="99"/>
      <x:c r="M15" s="99"/>
      <x:c r="N15" s="99"/>
      <x:c r="O15" s="96" t="str">
        <x:f>IF(E15="","",IF(E15="Small",IF(OR(F15="",G15="",H15=""),"",IF(AND(F15="Yes",G15="Small",H15="Skip"),"Yes","No")),IF(OR(E15="Normal",E15="Large"),IF(OR(F15="",G15="",H15="",K15="",L15="",M15="",N15=""),"",IF(AND(F15="Yes",G15=E15,H15="Pick",K15="Yes",L15="No",M15=IF(E15="Normal","Normal_Bin","Large_Bin"),N15="Yes"),"Yes","No")),"")))</x:f>
      </x:c>
      <x:c r="P15" s="99" t="str">
        <x:v>NONE</x:v>
      </x:c>
      <x:c r="Q15" s="101"/>
      <x:c r="R15" s="102"/>
    </x:row>
    <x:row r="16">
      <x:c r="A16" s="97" t="n">
        <x:v>2</x:v>
      </x:c>
      <x:c r="B16" s="98" t="str">
        <x:v>B</x:v>
      </x:c>
      <x:c r="C16" s="97" t="n">
        <x:v>1</x:v>
      </x:c>
      <x:c r="D16" s="96" t="str">
        <x:f>IF(OR(A16="",B16="",E16=""),"","R"&amp;TEXT(A16,"00")&amp;"-"&amp;B16&amp;"-"&amp;LEFT(E16,1)&amp;IF(COUNTIFS($A$2:A16,A16,$B$2:B16,B16,$E$2:E16,E16)&gt;1,"-"&amp;COUNTIFS($A$2:A16,A16,$B$2:B16,B16,$E$2:E16,E16),""))</x:f>
        <x:v>R02-B-L</x:v>
      </x:c>
      <x:c r="E16" s="99" t="str">
        <x:v>Large</x:v>
      </x:c>
      <x:c r="F16" s="99"/>
      <x:c r="G16" s="99"/>
      <x:c r="H16" s="99"/>
      <x:c r="I16" s="100"/>
      <x:c r="J16" s="99"/>
      <x:c r="K16" s="99"/>
      <x:c r="L16" s="99"/>
      <x:c r="M16" s="99"/>
      <x:c r="N16" s="99"/>
      <x:c r="O16" s="96" t="str">
        <x:f>IF(E16="","",IF(E16="Small",IF(OR(F16="",G16="",H16=""),"",IF(AND(F16="Yes",G16="Small",H16="Skip"),"Yes","No")),IF(OR(E16="Normal",E16="Large"),IF(OR(F16="",G16="",H16="",K16="",L16="",M16="",N16=""),"",IF(AND(F16="Yes",G16=E16,H16="Pick",K16="Yes",L16="No",M16=IF(E16="Normal","Normal_Bin","Large_Bin"),N16="Yes"),"Yes","No")),"")))</x:f>
      </x:c>
      <x:c r="P16" s="99" t="str">
        <x:v>NONE</x:v>
      </x:c>
      <x:c r="Q16" s="101"/>
      <x:c r="R16" s="102"/>
    </x:row>
    <x:row r="17">
      <x:c r="A17" s="97" t="n">
        <x:v>2</x:v>
      </x:c>
      <x:c r="B17" s="98" t="str">
        <x:v>C</x:v>
      </x:c>
      <x:c r="C17" s="97" t="n">
        <x:v>2</x:v>
      </x:c>
      <x:c r="D17" s="96" t="str">
        <x:f>IF(OR(A17="",B17="",E17=""),"","R"&amp;TEXT(A17,"00")&amp;"-"&amp;B17&amp;"-"&amp;LEFT(E17,1)&amp;IF(COUNTIFS($A$2:A17,A17,$B$2:B17,B17,$E$2:E17,E17)&gt;1,"-"&amp;COUNTIFS($A$2:A17,A17,$B$2:B17,B17,$E$2:E17,E17),""))</x:f>
        <x:v>R02-C-S</x:v>
      </x:c>
      <x:c r="E17" s="99" t="str">
        <x:v>Small</x:v>
      </x:c>
      <x:c r="F17" s="99"/>
      <x:c r="G17" s="99"/>
      <x:c r="H17" s="99"/>
      <x:c r="I17" s="100" t="n">
        <x:v>0</x:v>
      </x:c>
      <x:c r="J17" s="99" t="str">
        <x:v>N/A</x:v>
      </x:c>
      <x:c r="K17" s="99" t="str">
        <x:v>N/A</x:v>
      </x:c>
      <x:c r="L17" s="99" t="str">
        <x:v>N/A</x:v>
      </x:c>
      <x:c r="M17" s="99" t="str">
        <x:v>N/A</x:v>
      </x:c>
      <x:c r="N17" s="99" t="str">
        <x:v>N/A</x:v>
      </x:c>
      <x:c r="O17" s="96" t="str">
        <x:f>IF(E17="","",IF(E17="Small",IF(OR(F17="",G17="",H17=""),"",IF(AND(F17="Yes",G17="Small",H17="Skip"),"Yes","No")),IF(OR(E17="Normal",E17="Large"),IF(OR(F17="",G17="",H17="",K17="",L17="",M17="",N17=""),"",IF(AND(F17="Yes",G17=E17,H17="Pick",K17="Yes",L17="No",M17=IF(E17="Normal","Normal_Bin","Large_Bin"),N17="Yes"),"Yes","No")),"")))</x:f>
      </x:c>
      <x:c r="P17" s="99" t="str">
        <x:v>NONE</x:v>
      </x:c>
      <x:c r="Q17" s="101"/>
      <x:c r="R17" s="102"/>
    </x:row>
    <x:row r="18">
      <x:c r="A18" s="97" t="n">
        <x:v>2</x:v>
      </x:c>
      <x:c r="B18" s="98" t="str">
        <x:v>C</x:v>
      </x:c>
      <x:c r="C18" s="97" t="n">
        <x:v>2</x:v>
      </x:c>
      <x:c r="D18" s="96" t="str">
        <x:f>IF(OR(A18="",B18="",E18=""),"","R"&amp;TEXT(A18,"00")&amp;"-"&amp;B18&amp;"-"&amp;LEFT(E18,1)&amp;IF(COUNTIFS($A$2:A18,A18,$B$2:B18,B18,$E$2:E18,E18)&gt;1,"-"&amp;COUNTIFS($A$2:A18,A18,$B$2:B18,B18,$E$2:E18,E18),""))</x:f>
        <x:v>R02-C-N</x:v>
      </x:c>
      <x:c r="E18" s="99" t="str">
        <x:v>Normal</x:v>
      </x:c>
      <x:c r="F18" s="99"/>
      <x:c r="G18" s="99"/>
      <x:c r="H18" s="99"/>
      <x:c r="I18" s="100"/>
      <x:c r="J18" s="99"/>
      <x:c r="K18" s="99"/>
      <x:c r="L18" s="99"/>
      <x:c r="M18" s="99"/>
      <x:c r="N18" s="99"/>
      <x:c r="O18" s="96" t="str">
        <x:f>IF(E18="","",IF(E18="Small",IF(OR(F18="",G18="",H18=""),"",IF(AND(F18="Yes",G18="Small",H18="Skip"),"Yes","No")),IF(OR(E18="Normal",E18="Large"),IF(OR(F18="",G18="",H18="",K18="",L18="",M18="",N18=""),"",IF(AND(F18="Yes",G18=E18,H18="Pick",K18="Yes",L18="No",M18=IF(E18="Normal","Normal_Bin","Large_Bin"),N18="Yes"),"Yes","No")),"")))</x:f>
      </x:c>
      <x:c r="P18" s="99" t="str">
        <x:v>NONE</x:v>
      </x:c>
      <x:c r="Q18" s="101"/>
      <x:c r="R18" s="102"/>
    </x:row>
    <x:row r="19">
      <x:c r="A19" s="97" t="n">
        <x:v>2</x:v>
      </x:c>
      <x:c r="B19" s="98" t="str">
        <x:v>C</x:v>
      </x:c>
      <x:c r="C19" s="97" t="n">
        <x:v>2</x:v>
      </x:c>
      <x:c r="D19" s="96" t="str">
        <x:f>IF(OR(A19="",B19="",E19=""),"","R"&amp;TEXT(A19,"00")&amp;"-"&amp;B19&amp;"-"&amp;LEFT(E19,1)&amp;IF(COUNTIFS($A$2:A19,A19,$B$2:B19,B19,$E$2:E19,E19)&gt;1,"-"&amp;COUNTIFS($A$2:A19,A19,$B$2:B19,B19,$E$2:E19,E19),""))</x:f>
        <x:v>R02-C-L</x:v>
      </x:c>
      <x:c r="E19" s="99" t="str">
        <x:v>Large</x:v>
      </x:c>
      <x:c r="F19" s="99"/>
      <x:c r="G19" s="99"/>
      <x:c r="H19" s="99"/>
      <x:c r="I19" s="100"/>
      <x:c r="J19" s="99"/>
      <x:c r="K19" s="99"/>
      <x:c r="L19" s="99"/>
      <x:c r="M19" s="99"/>
      <x:c r="N19" s="99"/>
      <x:c r="O19" s="96" t="str">
        <x:f>IF(E19="","",IF(E19="Small",IF(OR(F19="",G19="",H19=""),"",IF(AND(F19="Yes",G19="Small",H19="Skip"),"Yes","No")),IF(OR(E19="Normal",E19="Large"),IF(OR(F19="",G19="",H19="",K19="",L19="",M19="",N19=""),"",IF(AND(F19="Yes",G19=E19,H19="Pick",K19="Yes",L19="No",M19=IF(E19="Normal","Normal_Bin","Large_Bin"),N19="Yes"),"Yes","No")),"")))</x:f>
      </x:c>
      <x:c r="P19" s="99" t="str">
        <x:v>NONE</x:v>
      </x:c>
      <x:c r="Q19" s="101"/>
      <x:c r="R19" s="102"/>
    </x:row>
    <x:row r="20">
      <x:c r="A20" s="97" t="n">
        <x:v>2</x:v>
      </x:c>
      <x:c r="B20" s="98" t="str">
        <x:v>D</x:v>
      </x:c>
      <x:c r="C20" s="97" t="n">
        <x:v>3</x:v>
      </x:c>
      <x:c r="D20" s="96" t="str">
        <x:f>IF(OR(A20="",B20="",E20=""),"","R"&amp;TEXT(A20,"00")&amp;"-"&amp;B20&amp;"-"&amp;LEFT(E20,1)&amp;IF(COUNTIFS($A$2:A20,A20,$B$2:B20,B20,$E$2:E20,E20)&gt;1,"-"&amp;COUNTIFS($A$2:A20,A20,$B$2:B20,B20,$E$2:E20,E20),""))</x:f>
        <x:v>R02-D-S</x:v>
      </x:c>
      <x:c r="E20" s="99" t="str">
        <x:v>Small</x:v>
      </x:c>
      <x:c r="F20" s="99"/>
      <x:c r="G20" s="99"/>
      <x:c r="H20" s="99"/>
      <x:c r="I20" s="100" t="n">
        <x:v>0</x:v>
      </x:c>
      <x:c r="J20" s="99" t="str">
        <x:v>N/A</x:v>
      </x:c>
      <x:c r="K20" s="99" t="str">
        <x:v>N/A</x:v>
      </x:c>
      <x:c r="L20" s="99" t="str">
        <x:v>N/A</x:v>
      </x:c>
      <x:c r="M20" s="99" t="str">
        <x:v>N/A</x:v>
      </x:c>
      <x:c r="N20" s="99" t="str">
        <x:v>N/A</x:v>
      </x:c>
      <x:c r="O20" s="96" t="str">
        <x:f>IF(E20="","",IF(E20="Small",IF(OR(F20="",G20="",H20=""),"",IF(AND(F20="Yes",G20="Small",H20="Skip"),"Yes","No")),IF(OR(E20="Normal",E20="Large"),IF(OR(F20="",G20="",H20="",K20="",L20="",M20="",N20=""),"",IF(AND(F20="Yes",G20=E20,H20="Pick",K20="Yes",L20="No",M20=IF(E20="Normal","Normal_Bin","Large_Bin"),N20="Yes"),"Yes","No")),"")))</x:f>
      </x:c>
      <x:c r="P20" s="99" t="str">
        <x:v>NONE</x:v>
      </x:c>
      <x:c r="Q20" s="101"/>
      <x:c r="R20" s="102"/>
    </x:row>
    <x:row r="21">
      <x:c r="A21" s="97" t="n">
        <x:v>2</x:v>
      </x:c>
      <x:c r="B21" s="98" t="str">
        <x:v>D</x:v>
      </x:c>
      <x:c r="C21" s="97" t="n">
        <x:v>3</x:v>
      </x:c>
      <x:c r="D21" s="96" t="str">
        <x:f>IF(OR(A21="",B21="",E21=""),"","R"&amp;TEXT(A21,"00")&amp;"-"&amp;B21&amp;"-"&amp;LEFT(E21,1)&amp;IF(COUNTIFS($A$2:A21,A21,$B$2:B21,B21,$E$2:E21,E21)&gt;1,"-"&amp;COUNTIFS($A$2:A21,A21,$B$2:B21,B21,$E$2:E21,E21),""))</x:f>
        <x:v>R02-D-N</x:v>
      </x:c>
      <x:c r="E21" s="99" t="str">
        <x:v>Normal</x:v>
      </x:c>
      <x:c r="F21" s="99"/>
      <x:c r="G21" s="99"/>
      <x:c r="H21" s="99"/>
      <x:c r="I21" s="100"/>
      <x:c r="J21" s="99"/>
      <x:c r="K21" s="99"/>
      <x:c r="L21" s="99"/>
      <x:c r="M21" s="99"/>
      <x:c r="N21" s="99"/>
      <x:c r="O21" s="96" t="str">
        <x:f>IF(E21="","",IF(E21="Small",IF(OR(F21="",G21="",H21=""),"",IF(AND(F21="Yes",G21="Small",H21="Skip"),"Yes","No")),IF(OR(E21="Normal",E21="Large"),IF(OR(F21="",G21="",H21="",K21="",L21="",M21="",N21=""),"",IF(AND(F21="Yes",G21=E21,H21="Pick",K21="Yes",L21="No",M21=IF(E21="Normal","Normal_Bin","Large_Bin"),N21="Yes"),"Yes","No")),"")))</x:f>
      </x:c>
      <x:c r="P21" s="99" t="str">
        <x:v>NONE</x:v>
      </x:c>
      <x:c r="Q21" s="101"/>
      <x:c r="R21" s="102"/>
    </x:row>
    <x:row r="22">
      <x:c r="A22" s="97" t="n">
        <x:v>2</x:v>
      </x:c>
      <x:c r="B22" s="98" t="str">
        <x:v>D</x:v>
      </x:c>
      <x:c r="C22" s="97" t="n">
        <x:v>3</x:v>
      </x:c>
      <x:c r="D22" s="96" t="str">
        <x:f>IF(OR(A22="",B22="",E22=""),"","R"&amp;TEXT(A22,"00")&amp;"-"&amp;B22&amp;"-"&amp;LEFT(E22,1)&amp;IF(COUNTIFS($A$2:A22,A22,$B$2:B22,B22,$E$2:E22,E22)&gt;1,"-"&amp;COUNTIFS($A$2:A22,A22,$B$2:B22,B22,$E$2:E22,E22),""))</x:f>
        <x:v>R02-D-L</x:v>
      </x:c>
      <x:c r="E22" s="99" t="str">
        <x:v>Large</x:v>
      </x:c>
      <x:c r="F22" s="99"/>
      <x:c r="G22" s="99"/>
      <x:c r="H22" s="99"/>
      <x:c r="I22" s="100"/>
      <x:c r="J22" s="99"/>
      <x:c r="K22" s="99"/>
      <x:c r="L22" s="99"/>
      <x:c r="M22" s="99"/>
      <x:c r="N22" s="99"/>
      <x:c r="O22" s="96" t="str">
        <x:f>IF(E22="","",IF(E22="Small",IF(OR(F22="",G22="",H22=""),"",IF(AND(F22="Yes",G22="Small",H22="Skip"),"Yes","No")),IF(OR(E22="Normal",E22="Large"),IF(OR(F22="",G22="",H22="",K22="",L22="",M22="",N22=""),"",IF(AND(F22="Yes",G22=E22,H22="Pick",K22="Yes",L22="No",M22=IF(E22="Normal","Normal_Bin","Large_Bin"),N22="Yes"),"Yes","No")),"")))</x:f>
      </x:c>
      <x:c r="P22" s="99" t="str">
        <x:v>NONE</x:v>
      </x:c>
      <x:c r="Q22" s="101"/>
      <x:c r="R22" s="102"/>
    </x:row>
    <x:row r="23">
      <x:c r="A23" s="97" t="n">
        <x:v>2</x:v>
      </x:c>
      <x:c r="B23" s="98" t="str">
        <x:v>A</x:v>
      </x:c>
      <x:c r="C23" s="97" t="n">
        <x:v>4</x:v>
      </x:c>
      <x:c r="D23" s="96" t="str">
        <x:f>IF(OR(A23="",B23="",E23=""),"","R"&amp;TEXT(A23,"00")&amp;"-"&amp;B23&amp;"-"&amp;LEFT(E23,1)&amp;IF(COUNTIFS($A$2:A23,A23,$B$2:B23,B23,$E$2:E23,E23)&gt;1,"-"&amp;COUNTIFS($A$2:A23,A23,$B$2:B23,B23,$E$2:E23,E23),""))</x:f>
        <x:v>R02-A-S</x:v>
      </x:c>
      <x:c r="E23" s="99" t="str">
        <x:v>Small</x:v>
      </x:c>
      <x:c r="F23" s="99"/>
      <x:c r="G23" s="99"/>
      <x:c r="H23" s="99"/>
      <x:c r="I23" s="100" t="n">
        <x:v>0</x:v>
      </x:c>
      <x:c r="J23" s="99" t="str">
        <x:v>N/A</x:v>
      </x:c>
      <x:c r="K23" s="99" t="str">
        <x:v>N/A</x:v>
      </x:c>
      <x:c r="L23" s="99" t="str">
        <x:v>N/A</x:v>
      </x:c>
      <x:c r="M23" s="99" t="str">
        <x:v>N/A</x:v>
      </x:c>
      <x:c r="N23" s="99" t="str">
        <x:v>N/A</x:v>
      </x:c>
      <x:c r="O23" s="96" t="str">
        <x:f>IF(E23="","",IF(E23="Small",IF(OR(F23="",G23="",H23=""),"",IF(AND(F23="Yes",G23="Small",H23="Skip"),"Yes","No")),IF(OR(E23="Normal",E23="Large"),IF(OR(F23="",G23="",H23="",K23="",L23="",M23="",N23=""),"",IF(AND(F23="Yes",G23=E23,H23="Pick",K23="Yes",L23="No",M23=IF(E23="Normal","Normal_Bin","Large_Bin"),N23="Yes"),"Yes","No")),"")))</x:f>
      </x:c>
      <x:c r="P23" s="99" t="str">
        <x:v>NONE</x:v>
      </x:c>
      <x:c r="Q23" s="101"/>
      <x:c r="R23" s="102"/>
    </x:row>
    <x:row r="24">
      <x:c r="A24" s="97" t="n">
        <x:v>2</x:v>
      </x:c>
      <x:c r="B24" s="98" t="str">
        <x:v>A</x:v>
      </x:c>
      <x:c r="C24" s="97" t="n">
        <x:v>4</x:v>
      </x:c>
      <x:c r="D24" s="96" t="str">
        <x:f>IF(OR(A24="",B24="",E24=""),"","R"&amp;TEXT(A24,"00")&amp;"-"&amp;B24&amp;"-"&amp;LEFT(E24,1)&amp;IF(COUNTIFS($A$2:A24,A24,$B$2:B24,B24,$E$2:E24,E24)&gt;1,"-"&amp;COUNTIFS($A$2:A24,A24,$B$2:B24,B24,$E$2:E24,E24),""))</x:f>
        <x:v>R02-A-N</x:v>
      </x:c>
      <x:c r="E24" s="99" t="str">
        <x:v>Normal</x:v>
      </x:c>
      <x:c r="F24" s="99"/>
      <x:c r="G24" s="99"/>
      <x:c r="H24" s="99"/>
      <x:c r="I24" s="100"/>
      <x:c r="J24" s="99"/>
      <x:c r="K24" s="99"/>
      <x:c r="L24" s="99"/>
      <x:c r="M24" s="99"/>
      <x:c r="N24" s="99"/>
      <x:c r="O24" s="96" t="str">
        <x:f>IF(E24="","",IF(E24="Small",IF(OR(F24="",G24="",H24=""),"",IF(AND(F24="Yes",G24="Small",H24="Skip"),"Yes","No")),IF(OR(E24="Normal",E24="Large"),IF(OR(F24="",G24="",H24="",K24="",L24="",M24="",N24=""),"",IF(AND(F24="Yes",G24=E24,H24="Pick",K24="Yes",L24="No",M24=IF(E24="Normal","Normal_Bin","Large_Bin"),N24="Yes"),"Yes","No")),"")))</x:f>
      </x:c>
      <x:c r="P24" s="99" t="str">
        <x:v>NONE</x:v>
      </x:c>
      <x:c r="Q24" s="101"/>
      <x:c r="R24" s="102"/>
    </x:row>
    <x:row r="25">
      <x:c r="A25" s="97" t="n">
        <x:v>2</x:v>
      </x:c>
      <x:c r="B25" s="98" t="str">
        <x:v>A</x:v>
      </x:c>
      <x:c r="C25" s="97" t="n">
        <x:v>4</x:v>
      </x:c>
      <x:c r="D25" s="96" t="str">
        <x:f>IF(OR(A25="",B25="",E25=""),"","R"&amp;TEXT(A25,"00")&amp;"-"&amp;B25&amp;"-"&amp;LEFT(E25,1)&amp;IF(COUNTIFS($A$2:A25,A25,$B$2:B25,B25,$E$2:E25,E25)&gt;1,"-"&amp;COUNTIFS($A$2:A25,A25,$B$2:B25,B25,$E$2:E25,E25),""))</x:f>
        <x:v>R02-A-L</x:v>
      </x:c>
      <x:c r="E25" s="99" t="str">
        <x:v>Large</x:v>
      </x:c>
      <x:c r="F25" s="99"/>
      <x:c r="G25" s="99"/>
      <x:c r="H25" s="99"/>
      <x:c r="I25" s="100"/>
      <x:c r="J25" s="99"/>
      <x:c r="K25" s="99"/>
      <x:c r="L25" s="99"/>
      <x:c r="M25" s="99"/>
      <x:c r="N25" s="99"/>
      <x:c r="O25" s="96" t="str">
        <x:f>IF(E25="","",IF(E25="Small",IF(OR(F25="",G25="",H25=""),"",IF(AND(F25="Yes",G25="Small",H25="Skip"),"Yes","No")),IF(OR(E25="Normal",E25="Large"),IF(OR(F25="",G25="",H25="",K25="",L25="",M25="",N25=""),"",IF(AND(F25="Yes",G25=E25,H25="Pick",K25="Yes",L25="No",M25=IF(E25="Normal","Normal_Bin","Large_Bin"),N25="Yes"),"Yes","No")),"")))</x:f>
      </x:c>
      <x:c r="P25" s="99" t="str">
        <x:v>NONE</x:v>
      </x:c>
      <x:c r="Q25" s="101"/>
      <x:c r="R25" s="102"/>
    </x:row>
    <x:row r="26">
      <x:c r="A26" s="97" t="n">
        <x:v>3</x:v>
      </x:c>
      <x:c r="B26" s="98" t="str">
        <x:v>C</x:v>
      </x:c>
      <x:c r="C26" s="97" t="n">
        <x:v>1</x:v>
      </x:c>
      <x:c r="D26" s="96" t="str">
        <x:f>IF(OR(A26="",B26="",E26=""),"","R"&amp;TEXT(A26,"00")&amp;"-"&amp;B26&amp;"-"&amp;LEFT(E26,1)&amp;IF(COUNTIFS($A$2:A26,A26,$B$2:B26,B26,$E$2:E26,E26)&gt;1,"-"&amp;COUNTIFS($A$2:A26,A26,$B$2:B26,B26,$E$2:E26,E26),""))</x:f>
        <x:v>R03-C-S</x:v>
      </x:c>
      <x:c r="E26" s="99" t="str">
        <x:v>Small</x:v>
      </x:c>
      <x:c r="F26" s="99"/>
      <x:c r="G26" s="99"/>
      <x:c r="H26" s="99"/>
      <x:c r="I26" s="100" t="n">
        <x:v>0</x:v>
      </x:c>
      <x:c r="J26" s="99" t="str">
        <x:v>N/A</x:v>
      </x:c>
      <x:c r="K26" s="99" t="str">
        <x:v>N/A</x:v>
      </x:c>
      <x:c r="L26" s="99" t="str">
        <x:v>N/A</x:v>
      </x:c>
      <x:c r="M26" s="99" t="str">
        <x:v>N/A</x:v>
      </x:c>
      <x:c r="N26" s="99" t="str">
        <x:v>N/A</x:v>
      </x:c>
      <x:c r="O26" s="96" t="str">
        <x:f>IF(E26="","",IF(E26="Small",IF(OR(F26="",G26="",H26=""),"",IF(AND(F26="Yes",G26="Small",H26="Skip"),"Yes","No")),IF(OR(E26="Normal",E26="Large"),IF(OR(F26="",G26="",H26="",K26="",L26="",M26="",N26=""),"",IF(AND(F26="Yes",G26=E26,H26="Pick",K26="Yes",L26="No",M26=IF(E26="Normal","Normal_Bin","Large_Bin"),N26="Yes"),"Yes","No")),"")))</x:f>
      </x:c>
      <x:c r="P26" s="99" t="str">
        <x:v>NONE</x:v>
      </x:c>
      <x:c r="Q26" s="101"/>
      <x:c r="R26" s="102"/>
    </x:row>
    <x:row r="27">
      <x:c r="A27" s="97" t="n">
        <x:v>3</x:v>
      </x:c>
      <x:c r="B27" s="98" t="str">
        <x:v>C</x:v>
      </x:c>
      <x:c r="C27" s="97" t="n">
        <x:v>1</x:v>
      </x:c>
      <x:c r="D27" s="96" t="str">
        <x:f>IF(OR(A27="",B27="",E27=""),"","R"&amp;TEXT(A27,"00")&amp;"-"&amp;B27&amp;"-"&amp;LEFT(E27,1)&amp;IF(COUNTIFS($A$2:A27,A27,$B$2:B27,B27,$E$2:E27,E27)&gt;1,"-"&amp;COUNTIFS($A$2:A27,A27,$B$2:B27,B27,$E$2:E27,E27),""))</x:f>
        <x:v>R03-C-N</x:v>
      </x:c>
      <x:c r="E27" s="99" t="str">
        <x:v>Normal</x:v>
      </x:c>
      <x:c r="F27" s="99"/>
      <x:c r="G27" s="99"/>
      <x:c r="H27" s="99"/>
      <x:c r="I27" s="100"/>
      <x:c r="J27" s="99"/>
      <x:c r="K27" s="99"/>
      <x:c r="L27" s="99"/>
      <x:c r="M27" s="99"/>
      <x:c r="N27" s="99"/>
      <x:c r="O27" s="96" t="str">
        <x:f>IF(E27="","",IF(E27="Small",IF(OR(F27="",G27="",H27=""),"",IF(AND(F27="Yes",G27="Small",H27="Skip"),"Yes","No")),IF(OR(E27="Normal",E27="Large"),IF(OR(F27="",G27="",H27="",K27="",L27="",M27="",N27=""),"",IF(AND(F27="Yes",G27=E27,H27="Pick",K27="Yes",L27="No",M27=IF(E27="Normal","Normal_Bin","Large_Bin"),N27="Yes"),"Yes","No")),"")))</x:f>
      </x:c>
      <x:c r="P27" s="99" t="str">
        <x:v>NONE</x:v>
      </x:c>
      <x:c r="Q27" s="101"/>
      <x:c r="R27" s="102"/>
    </x:row>
    <x:row r="28">
      <x:c r="A28" s="97" t="n">
        <x:v>3</x:v>
      </x:c>
      <x:c r="B28" s="98" t="str">
        <x:v>C</x:v>
      </x:c>
      <x:c r="C28" s="97" t="n">
        <x:v>1</x:v>
      </x:c>
      <x:c r="D28" s="96" t="str">
        <x:f>IF(OR(A28="",B28="",E28=""),"","R"&amp;TEXT(A28,"00")&amp;"-"&amp;B28&amp;"-"&amp;LEFT(E28,1)&amp;IF(COUNTIFS($A$2:A28,A28,$B$2:B28,B28,$E$2:E28,E28)&gt;1,"-"&amp;COUNTIFS($A$2:A28,A28,$B$2:B28,B28,$E$2:E28,E28),""))</x:f>
        <x:v>R03-C-L</x:v>
      </x:c>
      <x:c r="E28" s="99" t="str">
        <x:v>Large</x:v>
      </x:c>
      <x:c r="F28" s="99"/>
      <x:c r="G28" s="99"/>
      <x:c r="H28" s="99"/>
      <x:c r="I28" s="100"/>
      <x:c r="J28" s="99"/>
      <x:c r="K28" s="99"/>
      <x:c r="L28" s="99"/>
      <x:c r="M28" s="99"/>
      <x:c r="N28" s="99"/>
      <x:c r="O28" s="96" t="str">
        <x:f>IF(E28="","",IF(E28="Small",IF(OR(F28="",G28="",H28=""),"",IF(AND(F28="Yes",G28="Small",H28="Skip"),"Yes","No")),IF(OR(E28="Normal",E28="Large"),IF(OR(F28="",G28="",H28="",K28="",L28="",M28="",N28=""),"",IF(AND(F28="Yes",G28=E28,H28="Pick",K28="Yes",L28="No",M28=IF(E28="Normal","Normal_Bin","Large_Bin"),N28="Yes"),"Yes","No")),"")))</x:f>
      </x:c>
      <x:c r="P28" s="99" t="str">
        <x:v>NONE</x:v>
      </x:c>
      <x:c r="Q28" s="101"/>
      <x:c r="R28" s="102"/>
    </x:row>
    <x:row r="29">
      <x:c r="A29" s="97" t="n">
        <x:v>3</x:v>
      </x:c>
      <x:c r="B29" s="98" t="str">
        <x:v>D</x:v>
      </x:c>
      <x:c r="C29" s="97" t="n">
        <x:v>2</x:v>
      </x:c>
      <x:c r="D29" s="96" t="str">
        <x:f>IF(OR(A29="",B29="",E29=""),"","R"&amp;TEXT(A29,"00")&amp;"-"&amp;B29&amp;"-"&amp;LEFT(E29,1)&amp;IF(COUNTIFS($A$2:A29,A29,$B$2:B29,B29,$E$2:E29,E29)&gt;1,"-"&amp;COUNTIFS($A$2:A29,A29,$B$2:B29,B29,$E$2:E29,E29),""))</x:f>
        <x:v>R03-D-S</x:v>
      </x:c>
      <x:c r="E29" s="99" t="str">
        <x:v>Small</x:v>
      </x:c>
      <x:c r="F29" s="99"/>
      <x:c r="G29" s="99"/>
      <x:c r="H29" s="99"/>
      <x:c r="I29" s="100" t="n">
        <x:v>0</x:v>
      </x:c>
      <x:c r="J29" s="99" t="str">
        <x:v>N/A</x:v>
      </x:c>
      <x:c r="K29" s="99" t="str">
        <x:v>N/A</x:v>
      </x:c>
      <x:c r="L29" s="99" t="str">
        <x:v>N/A</x:v>
      </x:c>
      <x:c r="M29" s="99" t="str">
        <x:v>N/A</x:v>
      </x:c>
      <x:c r="N29" s="99" t="str">
        <x:v>N/A</x:v>
      </x:c>
      <x:c r="O29" s="96" t="str">
        <x:f>IF(E29="","",IF(E29="Small",IF(OR(F29="",G29="",H29=""),"",IF(AND(F29="Yes",G29="Small",H29="Skip"),"Yes","No")),IF(OR(E29="Normal",E29="Large"),IF(OR(F29="",G29="",H29="",K29="",L29="",M29="",N29=""),"",IF(AND(F29="Yes",G29=E29,H29="Pick",K29="Yes",L29="No",M29=IF(E29="Normal","Normal_Bin","Large_Bin"),N29="Yes"),"Yes","No")),"")))</x:f>
      </x:c>
      <x:c r="P29" s="99" t="str">
        <x:v>NONE</x:v>
      </x:c>
      <x:c r="Q29" s="101"/>
      <x:c r="R29" s="102"/>
    </x:row>
    <x:row r="30">
      <x:c r="A30" s="97" t="n">
        <x:v>3</x:v>
      </x:c>
      <x:c r="B30" s="98" t="str">
        <x:v>D</x:v>
      </x:c>
      <x:c r="C30" s="97" t="n">
        <x:v>2</x:v>
      </x:c>
      <x:c r="D30" s="96" t="str">
        <x:f>IF(OR(A30="",B30="",E30=""),"","R"&amp;TEXT(A30,"00")&amp;"-"&amp;B30&amp;"-"&amp;LEFT(E30,1)&amp;IF(COUNTIFS($A$2:A30,A30,$B$2:B30,B30,$E$2:E30,E30)&gt;1,"-"&amp;COUNTIFS($A$2:A30,A30,$B$2:B30,B30,$E$2:E30,E30),""))</x:f>
        <x:v>R03-D-N</x:v>
      </x:c>
      <x:c r="E30" s="99" t="str">
        <x:v>Normal</x:v>
      </x:c>
      <x:c r="F30" s="99"/>
      <x:c r="G30" s="99"/>
      <x:c r="H30" s="99"/>
      <x:c r="I30" s="100"/>
      <x:c r="J30" s="99"/>
      <x:c r="K30" s="99"/>
      <x:c r="L30" s="99"/>
      <x:c r="M30" s="99"/>
      <x:c r="N30" s="99"/>
      <x:c r="O30" s="96" t="str">
        <x:f>IF(E30="","",IF(E30="Small",IF(OR(F30="",G30="",H30=""),"",IF(AND(F30="Yes",G30="Small",H30="Skip"),"Yes","No")),IF(OR(E30="Normal",E30="Large"),IF(OR(F30="",G30="",H30="",K30="",L30="",M30="",N30=""),"",IF(AND(F30="Yes",G30=E30,H30="Pick",K30="Yes",L30="No",M30=IF(E30="Normal","Normal_Bin","Large_Bin"),N30="Yes"),"Yes","No")),"")))</x:f>
      </x:c>
      <x:c r="P30" s="99" t="str">
        <x:v>NONE</x:v>
      </x:c>
      <x:c r="Q30" s="101"/>
      <x:c r="R30" s="102"/>
    </x:row>
    <x:row r="31">
      <x:c r="A31" s="97" t="n">
        <x:v>3</x:v>
      </x:c>
      <x:c r="B31" s="98" t="str">
        <x:v>D</x:v>
      </x:c>
      <x:c r="C31" s="97" t="n">
        <x:v>2</x:v>
      </x:c>
      <x:c r="D31" s="96" t="str">
        <x:f>IF(OR(A31="",B31="",E31=""),"","R"&amp;TEXT(A31,"00")&amp;"-"&amp;B31&amp;"-"&amp;LEFT(E31,1)&amp;IF(COUNTIFS($A$2:A31,A31,$B$2:B31,B31,$E$2:E31,E31)&gt;1,"-"&amp;COUNTIFS($A$2:A31,A31,$B$2:B31,B31,$E$2:E31,E31),""))</x:f>
        <x:v>R03-D-L</x:v>
      </x:c>
      <x:c r="E31" s="99" t="str">
        <x:v>Large</x:v>
      </x:c>
      <x:c r="F31" s="99"/>
      <x:c r="G31" s="99"/>
      <x:c r="H31" s="99"/>
      <x:c r="I31" s="100"/>
      <x:c r="J31" s="99"/>
      <x:c r="K31" s="99"/>
      <x:c r="L31" s="99"/>
      <x:c r="M31" s="99"/>
      <x:c r="N31" s="99"/>
      <x:c r="O31" s="96" t="str">
        <x:f>IF(E31="","",IF(E31="Small",IF(OR(F31="",G31="",H31=""),"",IF(AND(F31="Yes",G31="Small",H31="Skip"),"Yes","No")),IF(OR(E31="Normal",E31="Large"),IF(OR(F31="",G31="",H31="",K31="",L31="",M31="",N31=""),"",IF(AND(F31="Yes",G31=E31,H31="Pick",K31="Yes",L31="No",M31=IF(E31="Normal","Normal_Bin","Large_Bin"),N31="Yes"),"Yes","No")),"")))</x:f>
      </x:c>
      <x:c r="P31" s="99" t="str">
        <x:v>NONE</x:v>
      </x:c>
      <x:c r="Q31" s="101"/>
      <x:c r="R31" s="102"/>
    </x:row>
    <x:row r="32">
      <x:c r="A32" s="97" t="n">
        <x:v>3</x:v>
      </x:c>
      <x:c r="B32" s="98" t="str">
        <x:v>A</x:v>
      </x:c>
      <x:c r="C32" s="97" t="n">
        <x:v>3</x:v>
      </x:c>
      <x:c r="D32" s="96" t="str">
        <x:f>IF(OR(A32="",B32="",E32=""),"","R"&amp;TEXT(A32,"00")&amp;"-"&amp;B32&amp;"-"&amp;LEFT(E32,1)&amp;IF(COUNTIFS($A$2:A32,A32,$B$2:B32,B32,$E$2:E32,E32)&gt;1,"-"&amp;COUNTIFS($A$2:A32,A32,$B$2:B32,B32,$E$2:E32,E32),""))</x:f>
        <x:v>R03-A-S</x:v>
      </x:c>
      <x:c r="E32" s="99" t="str">
        <x:v>Small</x:v>
      </x:c>
      <x:c r="F32" s="99"/>
      <x:c r="G32" s="99"/>
      <x:c r="H32" s="99"/>
      <x:c r="I32" s="100" t="n">
        <x:v>0</x:v>
      </x:c>
      <x:c r="J32" s="99" t="str">
        <x:v>N/A</x:v>
      </x:c>
      <x:c r="K32" s="99" t="str">
        <x:v>N/A</x:v>
      </x:c>
      <x:c r="L32" s="99" t="str">
        <x:v>N/A</x:v>
      </x:c>
      <x:c r="M32" s="99" t="str">
        <x:v>N/A</x:v>
      </x:c>
      <x:c r="N32" s="99" t="str">
        <x:v>N/A</x:v>
      </x:c>
      <x:c r="O32" s="96" t="str">
        <x:f>IF(E32="","",IF(E32="Small",IF(OR(F32="",G32="",H32=""),"",IF(AND(F32="Yes",G32="Small",H32="Skip"),"Yes","No")),IF(OR(E32="Normal",E32="Large"),IF(OR(F32="",G32="",H32="",K32="",L32="",M32="",N32=""),"",IF(AND(F32="Yes",G32=E32,H32="Pick",K32="Yes",L32="No",M32=IF(E32="Normal","Normal_Bin","Large_Bin"),N32="Yes"),"Yes","No")),"")))</x:f>
      </x:c>
      <x:c r="P32" s="99" t="str">
        <x:v>NONE</x:v>
      </x:c>
      <x:c r="Q32" s="101"/>
      <x:c r="R32" s="102"/>
    </x:row>
    <x:row r="33">
      <x:c r="A33" s="97" t="n">
        <x:v>3</x:v>
      </x:c>
      <x:c r="B33" s="98" t="str">
        <x:v>A</x:v>
      </x:c>
      <x:c r="C33" s="97" t="n">
        <x:v>3</x:v>
      </x:c>
      <x:c r="D33" s="96" t="str">
        <x:f>IF(OR(A33="",B33="",E33=""),"","R"&amp;TEXT(A33,"00")&amp;"-"&amp;B33&amp;"-"&amp;LEFT(E33,1)&amp;IF(COUNTIFS($A$2:A33,A33,$B$2:B33,B33,$E$2:E33,E33)&gt;1,"-"&amp;COUNTIFS($A$2:A33,A33,$B$2:B33,B33,$E$2:E33,E33),""))</x:f>
        <x:v>R03-A-N</x:v>
      </x:c>
      <x:c r="E33" s="99" t="str">
        <x:v>Normal</x:v>
      </x:c>
      <x:c r="F33" s="99"/>
      <x:c r="G33" s="99"/>
      <x:c r="H33" s="99"/>
      <x:c r="I33" s="100"/>
      <x:c r="J33" s="99"/>
      <x:c r="K33" s="99"/>
      <x:c r="L33" s="99"/>
      <x:c r="M33" s="99"/>
      <x:c r="N33" s="99"/>
      <x:c r="O33" s="96" t="str">
        <x:f>IF(E33="","",IF(E33="Small",IF(OR(F33="",G33="",H33=""),"",IF(AND(F33="Yes",G33="Small",H33="Skip"),"Yes","No")),IF(OR(E33="Normal",E33="Large"),IF(OR(F33="",G33="",H33="",K33="",L33="",M33="",N33=""),"",IF(AND(F33="Yes",G33=E33,H33="Pick",K33="Yes",L33="No",M33=IF(E33="Normal","Normal_Bin","Large_Bin"),N33="Yes"),"Yes","No")),"")))</x:f>
      </x:c>
      <x:c r="P33" s="99" t="str">
        <x:v>NONE</x:v>
      </x:c>
      <x:c r="Q33" s="101"/>
      <x:c r="R33" s="102"/>
    </x:row>
    <x:row r="34">
      <x:c r="A34" s="97" t="n">
        <x:v>3</x:v>
      </x:c>
      <x:c r="B34" s="98" t="str">
        <x:v>A</x:v>
      </x:c>
      <x:c r="C34" s="97" t="n">
        <x:v>3</x:v>
      </x:c>
      <x:c r="D34" s="96" t="str">
        <x:f>IF(OR(A34="",B34="",E34=""),"","R"&amp;TEXT(A34,"00")&amp;"-"&amp;B34&amp;"-"&amp;LEFT(E34,1)&amp;IF(COUNTIFS($A$2:A34,A34,$B$2:B34,B34,$E$2:E34,E34)&gt;1,"-"&amp;COUNTIFS($A$2:A34,A34,$B$2:B34,B34,$E$2:E34,E34),""))</x:f>
        <x:v>R03-A-L</x:v>
      </x:c>
      <x:c r="E34" s="99" t="str">
        <x:v>Large</x:v>
      </x:c>
      <x:c r="F34" s="99"/>
      <x:c r="G34" s="99"/>
      <x:c r="H34" s="99"/>
      <x:c r="I34" s="100"/>
      <x:c r="J34" s="99"/>
      <x:c r="K34" s="99"/>
      <x:c r="L34" s="99"/>
      <x:c r="M34" s="99"/>
      <x:c r="N34" s="99"/>
      <x:c r="O34" s="96" t="str">
        <x:f>IF(E34="","",IF(E34="Small",IF(OR(F34="",G34="",H34=""),"",IF(AND(F34="Yes",G34="Small",H34="Skip"),"Yes","No")),IF(OR(E34="Normal",E34="Large"),IF(OR(F34="",G34="",H34="",K34="",L34="",M34="",N34=""),"",IF(AND(F34="Yes",G34=E34,H34="Pick",K34="Yes",L34="No",M34=IF(E34="Normal","Normal_Bin","Large_Bin"),N34="Yes"),"Yes","No")),"")))</x:f>
      </x:c>
      <x:c r="P34" s="99" t="str">
        <x:v>NONE</x:v>
      </x:c>
      <x:c r="Q34" s="101"/>
      <x:c r="R34" s="102"/>
    </x:row>
    <x:row r="35">
      <x:c r="A35" s="97" t="n">
        <x:v>3</x:v>
      </x:c>
      <x:c r="B35" s="98" t="str">
        <x:v>B</x:v>
      </x:c>
      <x:c r="C35" s="97" t="n">
        <x:v>4</x:v>
      </x:c>
      <x:c r="D35" s="96" t="str">
        <x:f>IF(OR(A35="",B35="",E35=""),"","R"&amp;TEXT(A35,"00")&amp;"-"&amp;B35&amp;"-"&amp;LEFT(E35,1)&amp;IF(COUNTIFS($A$2:A35,A35,$B$2:B35,B35,$E$2:E35,E35)&gt;1,"-"&amp;COUNTIFS($A$2:A35,A35,$B$2:B35,B35,$E$2:E35,E35),""))</x:f>
        <x:v>R03-B-S</x:v>
      </x:c>
      <x:c r="E35" s="99" t="str">
        <x:v>Small</x:v>
      </x:c>
      <x:c r="F35" s="99"/>
      <x:c r="G35" s="99"/>
      <x:c r="H35" s="99"/>
      <x:c r="I35" s="100" t="n">
        <x:v>0</x:v>
      </x:c>
      <x:c r="J35" s="99" t="str">
        <x:v>N/A</x:v>
      </x:c>
      <x:c r="K35" s="99" t="str">
        <x:v>N/A</x:v>
      </x:c>
      <x:c r="L35" s="99" t="str">
        <x:v>N/A</x:v>
      </x:c>
      <x:c r="M35" s="99" t="str">
        <x:v>N/A</x:v>
      </x:c>
      <x:c r="N35" s="99" t="str">
        <x:v>N/A</x:v>
      </x:c>
      <x:c r="O35" s="96" t="str">
        <x:f>IF(E35="","",IF(E35="Small",IF(OR(F35="",G35="",H35=""),"",IF(AND(F35="Yes",G35="Small",H35="Skip"),"Yes","No")),IF(OR(E35="Normal",E35="Large"),IF(OR(F35="",G35="",H35="",K35="",L35="",M35="",N35=""),"",IF(AND(F35="Yes",G35=E35,H35="Pick",K35="Yes",L35="No",M35=IF(E35="Normal","Normal_Bin","Large_Bin"),N35="Yes"),"Yes","No")),"")))</x:f>
      </x:c>
      <x:c r="P35" s="99" t="str">
        <x:v>NONE</x:v>
      </x:c>
      <x:c r="Q35" s="101"/>
      <x:c r="R35" s="102"/>
    </x:row>
    <x:row r="36">
      <x:c r="A36" s="97" t="n">
        <x:v>3</x:v>
      </x:c>
      <x:c r="B36" s="98" t="str">
        <x:v>B</x:v>
      </x:c>
      <x:c r="C36" s="97" t="n">
        <x:v>4</x:v>
      </x:c>
      <x:c r="D36" s="96" t="str">
        <x:f>IF(OR(A36="",B36="",E36=""),"","R"&amp;TEXT(A36,"00")&amp;"-"&amp;B36&amp;"-"&amp;LEFT(E36,1)&amp;IF(COUNTIFS($A$2:A36,A36,$B$2:B36,B36,$E$2:E36,E36)&gt;1,"-"&amp;COUNTIFS($A$2:A36,A36,$B$2:B36,B36,$E$2:E36,E36),""))</x:f>
        <x:v>R03-B-N</x:v>
      </x:c>
      <x:c r="E36" s="99" t="str">
        <x:v>Normal</x:v>
      </x:c>
      <x:c r="F36" s="99"/>
      <x:c r="G36" s="99"/>
      <x:c r="H36" s="99"/>
      <x:c r="I36" s="100"/>
      <x:c r="J36" s="99"/>
      <x:c r="K36" s="99"/>
      <x:c r="L36" s="99"/>
      <x:c r="M36" s="99"/>
      <x:c r="N36" s="99"/>
      <x:c r="O36" s="96" t="str">
        <x:f>IF(E36="","",IF(E36="Small",IF(OR(F36="",G36="",H36=""),"",IF(AND(F36="Yes",G36="Small",H36="Skip"),"Yes","No")),IF(OR(E36="Normal",E36="Large"),IF(OR(F36="",G36="",H36="",K36="",L36="",M36="",N36=""),"",IF(AND(F36="Yes",G36=E36,H36="Pick",K36="Yes",L36="No",M36=IF(E36="Normal","Normal_Bin","Large_Bin"),N36="Yes"),"Yes","No")),"")))</x:f>
      </x:c>
      <x:c r="P36" s="99" t="str">
        <x:v>NONE</x:v>
      </x:c>
      <x:c r="Q36" s="101"/>
      <x:c r="R36" s="102"/>
    </x:row>
    <x:row r="37">
      <x:c r="A37" s="97" t="n">
        <x:v>3</x:v>
      </x:c>
      <x:c r="B37" s="98" t="str">
        <x:v>B</x:v>
      </x:c>
      <x:c r="C37" s="97" t="n">
        <x:v>4</x:v>
      </x:c>
      <x:c r="D37" s="96" t="str">
        <x:f>IF(OR(A37="",B37="",E37=""),"","R"&amp;TEXT(A37,"00")&amp;"-"&amp;B37&amp;"-"&amp;LEFT(E37,1)&amp;IF(COUNTIFS($A$2:A37,A37,$B$2:B37,B37,$E$2:E37,E37)&gt;1,"-"&amp;COUNTIFS($A$2:A37,A37,$B$2:B37,B37,$E$2:E37,E37),""))</x:f>
        <x:v>R03-B-L</x:v>
      </x:c>
      <x:c r="E37" s="99" t="str">
        <x:v>Large</x:v>
      </x:c>
      <x:c r="F37" s="99"/>
      <x:c r="G37" s="99"/>
      <x:c r="H37" s="99"/>
      <x:c r="I37" s="100"/>
      <x:c r="J37" s="99"/>
      <x:c r="K37" s="99"/>
      <x:c r="L37" s="99"/>
      <x:c r="M37" s="99"/>
      <x:c r="N37" s="99"/>
      <x:c r="O37" s="96" t="str">
        <x:f>IF(E37="","",IF(E37="Small",IF(OR(F37="",G37="",H37=""),"",IF(AND(F37="Yes",G37="Small",H37="Skip"),"Yes","No")),IF(OR(E37="Normal",E37="Large"),IF(OR(F37="",G37="",H37="",K37="",L37="",M37="",N37=""),"",IF(AND(F37="Yes",G37=E37,H37="Pick",K37="Yes",L37="No",M37=IF(E37="Normal","Normal_Bin","Large_Bin"),N37="Yes"),"Yes","No")),"")))</x:f>
      </x:c>
      <x:c r="P37" s="99" t="str">
        <x:v>NONE</x:v>
      </x:c>
      <x:c r="Q37" s="101"/>
      <x:c r="R37" s="102"/>
    </x:row>
    <x:row r="38">
      <x:c r="A38" s="97" t="n">
        <x:v>4</x:v>
      </x:c>
      <x:c r="B38" s="98" t="str">
        <x:v>D</x:v>
      </x:c>
      <x:c r="C38" s="97" t="n">
        <x:v>1</x:v>
      </x:c>
      <x:c r="D38" s="96" t="str">
        <x:f>IF(OR(A38="",B38="",E38=""),"","R"&amp;TEXT(A38,"00")&amp;"-"&amp;B38&amp;"-"&amp;LEFT(E38,1)&amp;IF(COUNTIFS($A$2:A38,A38,$B$2:B38,B38,$E$2:E38,E38)&gt;1,"-"&amp;COUNTIFS($A$2:A38,A38,$B$2:B38,B38,$E$2:E38,E38),""))</x:f>
        <x:v>R04-D-S</x:v>
      </x:c>
      <x:c r="E38" s="99" t="str">
        <x:v>Small</x:v>
      </x:c>
      <x:c r="F38" s="99"/>
      <x:c r="G38" s="99"/>
      <x:c r="H38" s="99"/>
      <x:c r="I38" s="100" t="n">
        <x:v>0</x:v>
      </x:c>
      <x:c r="J38" s="99" t="str">
        <x:v>N/A</x:v>
      </x:c>
      <x:c r="K38" s="99" t="str">
        <x:v>N/A</x:v>
      </x:c>
      <x:c r="L38" s="99" t="str">
        <x:v>N/A</x:v>
      </x:c>
      <x:c r="M38" s="99" t="str">
        <x:v>N/A</x:v>
      </x:c>
      <x:c r="N38" s="99" t="str">
        <x:v>N/A</x:v>
      </x:c>
      <x:c r="O38" s="96" t="str">
        <x:f>IF(E38="","",IF(E38="Small",IF(OR(F38="",G38="",H38=""),"",IF(AND(F38="Yes",G38="Small",H38="Skip"),"Yes","No")),IF(OR(E38="Normal",E38="Large"),IF(OR(F38="",G38="",H38="",K38="",L38="",M38="",N38=""),"",IF(AND(F38="Yes",G38=E38,H38="Pick",K38="Yes",L38="No",M38=IF(E38="Normal","Normal_Bin","Large_Bin"),N38="Yes"),"Yes","No")),"")))</x:f>
      </x:c>
      <x:c r="P38" s="99" t="str">
        <x:v>NONE</x:v>
      </x:c>
      <x:c r="Q38" s="101"/>
      <x:c r="R38" s="102"/>
    </x:row>
    <x:row r="39">
      <x:c r="A39" s="97" t="n">
        <x:v>4</x:v>
      </x:c>
      <x:c r="B39" s="98" t="str">
        <x:v>D</x:v>
      </x:c>
      <x:c r="C39" s="97" t="n">
        <x:v>1</x:v>
      </x:c>
      <x:c r="D39" s="96" t="str">
        <x:f>IF(OR(A39="",B39="",E39=""),"","R"&amp;TEXT(A39,"00")&amp;"-"&amp;B39&amp;"-"&amp;LEFT(E39,1)&amp;IF(COUNTIFS($A$2:A39,A39,$B$2:B39,B39,$E$2:E39,E39)&gt;1,"-"&amp;COUNTIFS($A$2:A39,A39,$B$2:B39,B39,$E$2:E39,E39),""))</x:f>
        <x:v>R04-D-N</x:v>
      </x:c>
      <x:c r="E39" s="99" t="str">
        <x:v>Normal</x:v>
      </x:c>
      <x:c r="F39" s="99"/>
      <x:c r="G39" s="99"/>
      <x:c r="H39" s="99"/>
      <x:c r="I39" s="100"/>
      <x:c r="J39" s="99"/>
      <x:c r="K39" s="99"/>
      <x:c r="L39" s="99"/>
      <x:c r="M39" s="99"/>
      <x:c r="N39" s="99"/>
      <x:c r="O39" s="96" t="str">
        <x:f>IF(E39="","",IF(E39="Small",IF(OR(F39="",G39="",H39=""),"",IF(AND(F39="Yes",G39="Small",H39="Skip"),"Yes","No")),IF(OR(E39="Normal",E39="Large"),IF(OR(F39="",G39="",H39="",K39="",L39="",M39="",N39=""),"",IF(AND(F39="Yes",G39=E39,H39="Pick",K39="Yes",L39="No",M39=IF(E39="Normal","Normal_Bin","Large_Bin"),N39="Yes"),"Yes","No")),"")))</x:f>
      </x:c>
      <x:c r="P39" s="99" t="str">
        <x:v>NONE</x:v>
      </x:c>
      <x:c r="Q39" s="101"/>
      <x:c r="R39" s="102"/>
    </x:row>
    <x:row r="40">
      <x:c r="A40" s="97" t="n">
        <x:v>4</x:v>
      </x:c>
      <x:c r="B40" s="98" t="str">
        <x:v>D</x:v>
      </x:c>
      <x:c r="C40" s="97" t="n">
        <x:v>1</x:v>
      </x:c>
      <x:c r="D40" s="96" t="str">
        <x:f>IF(OR(A40="",B40="",E40=""),"","R"&amp;TEXT(A40,"00")&amp;"-"&amp;B40&amp;"-"&amp;LEFT(E40,1)&amp;IF(COUNTIFS($A$2:A40,A40,$B$2:B40,B40,$E$2:E40,E40)&gt;1,"-"&amp;COUNTIFS($A$2:A40,A40,$B$2:B40,B40,$E$2:E40,E40),""))</x:f>
        <x:v>R04-D-L</x:v>
      </x:c>
      <x:c r="E40" s="99" t="str">
        <x:v>Large</x:v>
      </x:c>
      <x:c r="F40" s="99"/>
      <x:c r="G40" s="99"/>
      <x:c r="H40" s="99"/>
      <x:c r="I40" s="100"/>
      <x:c r="J40" s="99"/>
      <x:c r="K40" s="99"/>
      <x:c r="L40" s="99"/>
      <x:c r="M40" s="99"/>
      <x:c r="N40" s="99"/>
      <x:c r="O40" s="96" t="str">
        <x:f>IF(E40="","",IF(E40="Small",IF(OR(F40="",G40="",H40=""),"",IF(AND(F40="Yes",G40="Small",H40="Skip"),"Yes","No")),IF(OR(E40="Normal",E40="Large"),IF(OR(F40="",G40="",H40="",K40="",L40="",M40="",N40=""),"",IF(AND(F40="Yes",G40=E40,H40="Pick",K40="Yes",L40="No",M40=IF(E40="Normal","Normal_Bin","Large_Bin"),N40="Yes"),"Yes","No")),"")))</x:f>
      </x:c>
      <x:c r="P40" s="99" t="str">
        <x:v>NONE</x:v>
      </x:c>
      <x:c r="Q40" s="101"/>
      <x:c r="R40" s="102"/>
    </x:row>
    <x:row r="41">
      <x:c r="A41" s="97" t="n">
        <x:v>4</x:v>
      </x:c>
      <x:c r="B41" s="98" t="str">
        <x:v>A</x:v>
      </x:c>
      <x:c r="C41" s="97" t="n">
        <x:v>2</x:v>
      </x:c>
      <x:c r="D41" s="96" t="str">
        <x:f>IF(OR(A41="",B41="",E41=""),"","R"&amp;TEXT(A41,"00")&amp;"-"&amp;B41&amp;"-"&amp;LEFT(E41,1)&amp;IF(COUNTIFS($A$2:A41,A41,$B$2:B41,B41,$E$2:E41,E41)&gt;1,"-"&amp;COUNTIFS($A$2:A41,A41,$B$2:B41,B41,$E$2:E41,E41),""))</x:f>
        <x:v>R04-A-S</x:v>
      </x:c>
      <x:c r="E41" s="99" t="str">
        <x:v>Small</x:v>
      </x:c>
      <x:c r="F41" s="99"/>
      <x:c r="G41" s="99"/>
      <x:c r="H41" s="99"/>
      <x:c r="I41" s="100" t="n">
        <x:v>0</x:v>
      </x:c>
      <x:c r="J41" s="99" t="str">
        <x:v>N/A</x:v>
      </x:c>
      <x:c r="K41" s="99" t="str">
        <x:v>N/A</x:v>
      </x:c>
      <x:c r="L41" s="99" t="str">
        <x:v>N/A</x:v>
      </x:c>
      <x:c r="M41" s="99" t="str">
        <x:v>N/A</x:v>
      </x:c>
      <x:c r="N41" s="99" t="str">
        <x:v>N/A</x:v>
      </x:c>
      <x:c r="O41" s="96" t="str">
        <x:f>IF(E41="","",IF(E41="Small",IF(OR(F41="",G41="",H41=""),"",IF(AND(F41="Yes",G41="Small",H41="Skip"),"Yes","No")),IF(OR(E41="Normal",E41="Large"),IF(OR(F41="",G41="",H41="",K41="",L41="",M41="",N41=""),"",IF(AND(F41="Yes",G41=E41,H41="Pick",K41="Yes",L41="No",M41=IF(E41="Normal","Normal_Bin","Large_Bin"),N41="Yes"),"Yes","No")),"")))</x:f>
      </x:c>
      <x:c r="P41" s="99" t="str">
        <x:v>NONE</x:v>
      </x:c>
      <x:c r="Q41" s="101"/>
      <x:c r="R41" s="102"/>
    </x:row>
    <x:row r="42">
      <x:c r="A42" s="97" t="n">
        <x:v>4</x:v>
      </x:c>
      <x:c r="B42" s="98" t="str">
        <x:v>A</x:v>
      </x:c>
      <x:c r="C42" s="97" t="n">
        <x:v>2</x:v>
      </x:c>
      <x:c r="D42" s="96" t="str">
        <x:f>IF(OR(A42="",B42="",E42=""),"","R"&amp;TEXT(A42,"00")&amp;"-"&amp;B42&amp;"-"&amp;LEFT(E42,1)&amp;IF(COUNTIFS($A$2:A42,A42,$B$2:B42,B42,$E$2:E42,E42)&gt;1,"-"&amp;COUNTIFS($A$2:A42,A42,$B$2:B42,B42,$E$2:E42,E42),""))</x:f>
        <x:v>R04-A-N</x:v>
      </x:c>
      <x:c r="E42" s="99" t="str">
        <x:v>Normal</x:v>
      </x:c>
      <x:c r="F42" s="99"/>
      <x:c r="G42" s="99"/>
      <x:c r="H42" s="99"/>
      <x:c r="I42" s="100"/>
      <x:c r="J42" s="99"/>
      <x:c r="K42" s="99"/>
      <x:c r="L42" s="99"/>
      <x:c r="M42" s="99"/>
      <x:c r="N42" s="99"/>
      <x:c r="O42" s="96" t="str">
        <x:f>IF(E42="","",IF(E42="Small",IF(OR(F42="",G42="",H42=""),"",IF(AND(F42="Yes",G42="Small",H42="Skip"),"Yes","No")),IF(OR(E42="Normal",E42="Large"),IF(OR(F42="",G42="",H42="",K42="",L42="",M42="",N42=""),"",IF(AND(F42="Yes",G42=E42,H42="Pick",K42="Yes",L42="No",M42=IF(E42="Normal","Normal_Bin","Large_Bin"),N42="Yes"),"Yes","No")),"")))</x:f>
      </x:c>
      <x:c r="P42" s="99" t="str">
        <x:v>NONE</x:v>
      </x:c>
      <x:c r="Q42" s="101"/>
      <x:c r="R42" s="102"/>
    </x:row>
    <x:row r="43">
      <x:c r="A43" s="97" t="n">
        <x:v>4</x:v>
      </x:c>
      <x:c r="B43" s="98" t="str">
        <x:v>A</x:v>
      </x:c>
      <x:c r="C43" s="97" t="n">
        <x:v>2</x:v>
      </x:c>
      <x:c r="D43" s="96" t="str">
        <x:f>IF(OR(A43="",B43="",E43=""),"","R"&amp;TEXT(A43,"00")&amp;"-"&amp;B43&amp;"-"&amp;LEFT(E43,1)&amp;IF(COUNTIFS($A$2:A43,A43,$B$2:B43,B43,$E$2:E43,E43)&gt;1,"-"&amp;COUNTIFS($A$2:A43,A43,$B$2:B43,B43,$E$2:E43,E43),""))</x:f>
        <x:v>R04-A-L</x:v>
      </x:c>
      <x:c r="E43" s="99" t="str">
        <x:v>Large</x:v>
      </x:c>
      <x:c r="F43" s="99"/>
      <x:c r="G43" s="99"/>
      <x:c r="H43" s="99"/>
      <x:c r="I43" s="100"/>
      <x:c r="J43" s="99"/>
      <x:c r="K43" s="99"/>
      <x:c r="L43" s="99"/>
      <x:c r="M43" s="99"/>
      <x:c r="N43" s="99"/>
      <x:c r="O43" s="96" t="str">
        <x:f>IF(E43="","",IF(E43="Small",IF(OR(F43="",G43="",H43=""),"",IF(AND(F43="Yes",G43="Small",H43="Skip"),"Yes","No")),IF(OR(E43="Normal",E43="Large"),IF(OR(F43="",G43="",H43="",K43="",L43="",M43="",N43=""),"",IF(AND(F43="Yes",G43=E43,H43="Pick",K43="Yes",L43="No",M43=IF(E43="Normal","Normal_Bin","Large_Bin"),N43="Yes"),"Yes","No")),"")))</x:f>
      </x:c>
      <x:c r="P43" s="99" t="str">
        <x:v>NONE</x:v>
      </x:c>
      <x:c r="Q43" s="101"/>
      <x:c r="R43" s="102"/>
    </x:row>
    <x:row r="44">
      <x:c r="A44" s="97" t="n">
        <x:v>4</x:v>
      </x:c>
      <x:c r="B44" s="98" t="str">
        <x:v>B</x:v>
      </x:c>
      <x:c r="C44" s="97" t="n">
        <x:v>3</x:v>
      </x:c>
      <x:c r="D44" s="96" t="str">
        <x:f>IF(OR(A44="",B44="",E44=""),"","R"&amp;TEXT(A44,"00")&amp;"-"&amp;B44&amp;"-"&amp;LEFT(E44,1)&amp;IF(COUNTIFS($A$2:A44,A44,$B$2:B44,B44,$E$2:E44,E44)&gt;1,"-"&amp;COUNTIFS($A$2:A44,A44,$B$2:B44,B44,$E$2:E44,E44),""))</x:f>
        <x:v>R04-B-S</x:v>
      </x:c>
      <x:c r="E44" s="99" t="str">
        <x:v>Small</x:v>
      </x:c>
      <x:c r="F44" s="99"/>
      <x:c r="G44" s="99"/>
      <x:c r="H44" s="99"/>
      <x:c r="I44" s="100" t="n">
        <x:v>0</x:v>
      </x:c>
      <x:c r="J44" s="99" t="str">
        <x:v>N/A</x:v>
      </x:c>
      <x:c r="K44" s="99" t="str">
        <x:v>N/A</x:v>
      </x:c>
      <x:c r="L44" s="99" t="str">
        <x:v>N/A</x:v>
      </x:c>
      <x:c r="M44" s="99" t="str">
        <x:v>N/A</x:v>
      </x:c>
      <x:c r="N44" s="99" t="str">
        <x:v>N/A</x:v>
      </x:c>
      <x:c r="O44" s="96" t="str">
        <x:f>IF(E44="","",IF(E44="Small",IF(OR(F44="",G44="",H44=""),"",IF(AND(F44="Yes",G44="Small",H44="Skip"),"Yes","No")),IF(OR(E44="Normal",E44="Large"),IF(OR(F44="",G44="",H44="",K44="",L44="",M44="",N44=""),"",IF(AND(F44="Yes",G44=E44,H44="Pick",K44="Yes",L44="No",M44=IF(E44="Normal","Normal_Bin","Large_Bin"),N44="Yes"),"Yes","No")),"")))</x:f>
      </x:c>
      <x:c r="P44" s="99" t="str">
        <x:v>NONE</x:v>
      </x:c>
      <x:c r="Q44" s="101"/>
      <x:c r="R44" s="102"/>
    </x:row>
    <x:row r="45">
      <x:c r="A45" s="97" t="n">
        <x:v>4</x:v>
      </x:c>
      <x:c r="B45" s="98" t="str">
        <x:v>B</x:v>
      </x:c>
      <x:c r="C45" s="97" t="n">
        <x:v>3</x:v>
      </x:c>
      <x:c r="D45" s="96" t="str">
        <x:f>IF(OR(A45="",B45="",E45=""),"","R"&amp;TEXT(A45,"00")&amp;"-"&amp;B45&amp;"-"&amp;LEFT(E45,1)&amp;IF(COUNTIFS($A$2:A45,A45,$B$2:B45,B45,$E$2:E45,E45)&gt;1,"-"&amp;COUNTIFS($A$2:A45,A45,$B$2:B45,B45,$E$2:E45,E45),""))</x:f>
        <x:v>R04-B-N</x:v>
      </x:c>
      <x:c r="E45" s="99" t="str">
        <x:v>Normal</x:v>
      </x:c>
      <x:c r="F45" s="99"/>
      <x:c r="G45" s="99"/>
      <x:c r="H45" s="99"/>
      <x:c r="I45" s="100"/>
      <x:c r="J45" s="99"/>
      <x:c r="K45" s="99"/>
      <x:c r="L45" s="99"/>
      <x:c r="M45" s="99"/>
      <x:c r="N45" s="99"/>
      <x:c r="O45" s="96" t="str">
        <x:f>IF(E45="","",IF(E45="Small",IF(OR(F45="",G45="",H45=""),"",IF(AND(F45="Yes",G45="Small",H45="Skip"),"Yes","No")),IF(OR(E45="Normal",E45="Large"),IF(OR(F45="",G45="",H45="",K45="",L45="",M45="",N45=""),"",IF(AND(F45="Yes",G45=E45,H45="Pick",K45="Yes",L45="No",M45=IF(E45="Normal","Normal_Bin","Large_Bin"),N45="Yes"),"Yes","No")),"")))</x:f>
      </x:c>
      <x:c r="P45" s="99" t="str">
        <x:v>NONE</x:v>
      </x:c>
      <x:c r="Q45" s="101"/>
      <x:c r="R45" s="102"/>
    </x:row>
    <x:row r="46">
      <x:c r="A46" s="97" t="n">
        <x:v>4</x:v>
      </x:c>
      <x:c r="B46" s="98" t="str">
        <x:v>B</x:v>
      </x:c>
      <x:c r="C46" s="97" t="n">
        <x:v>3</x:v>
      </x:c>
      <x:c r="D46" s="96" t="str">
        <x:f>IF(OR(A46="",B46="",E46=""),"","R"&amp;TEXT(A46,"00")&amp;"-"&amp;B46&amp;"-"&amp;LEFT(E46,1)&amp;IF(COUNTIFS($A$2:A46,A46,$B$2:B46,B46,$E$2:E46,E46)&gt;1,"-"&amp;COUNTIFS($A$2:A46,A46,$B$2:B46,B46,$E$2:E46,E46),""))</x:f>
        <x:v>R04-B-L</x:v>
      </x:c>
      <x:c r="E46" s="99" t="str">
        <x:v>Large</x:v>
      </x:c>
      <x:c r="F46" s="99"/>
      <x:c r="G46" s="99"/>
      <x:c r="H46" s="99"/>
      <x:c r="I46" s="100"/>
      <x:c r="J46" s="99"/>
      <x:c r="K46" s="99"/>
      <x:c r="L46" s="99"/>
      <x:c r="M46" s="99"/>
      <x:c r="N46" s="99"/>
      <x:c r="O46" s="96" t="str">
        <x:f>IF(E46="","",IF(E46="Small",IF(OR(F46="",G46="",H46=""),"",IF(AND(F46="Yes",G46="Small",H46="Skip"),"Yes","No")),IF(OR(E46="Normal",E46="Large"),IF(OR(F46="",G46="",H46="",K46="",L46="",M46="",N46=""),"",IF(AND(F46="Yes",G46=E46,H46="Pick",K46="Yes",L46="No",M46=IF(E46="Normal","Normal_Bin","Large_Bin"),N46="Yes"),"Yes","No")),"")))</x:f>
      </x:c>
      <x:c r="P46" s="99" t="str">
        <x:v>NONE</x:v>
      </x:c>
      <x:c r="Q46" s="101"/>
      <x:c r="R46" s="102"/>
    </x:row>
    <x:row r="47">
      <x:c r="A47" s="97" t="n">
        <x:v>4</x:v>
      </x:c>
      <x:c r="B47" s="98" t="str">
        <x:v>C</x:v>
      </x:c>
      <x:c r="C47" s="97" t="n">
        <x:v>4</x:v>
      </x:c>
      <x:c r="D47" s="96" t="str">
        <x:f>IF(OR(A47="",B47="",E47=""),"","R"&amp;TEXT(A47,"00")&amp;"-"&amp;B47&amp;"-"&amp;LEFT(E47,1)&amp;IF(COUNTIFS($A$2:A47,A47,$B$2:B47,B47,$E$2:E47,E47)&gt;1,"-"&amp;COUNTIFS($A$2:A47,A47,$B$2:B47,B47,$E$2:E47,E47),""))</x:f>
        <x:v>R04-C-S</x:v>
      </x:c>
      <x:c r="E47" s="99" t="str">
        <x:v>Small</x:v>
      </x:c>
      <x:c r="F47" s="99"/>
      <x:c r="G47" s="99"/>
      <x:c r="H47" s="99"/>
      <x:c r="I47" s="100" t="n">
        <x:v>0</x:v>
      </x:c>
      <x:c r="J47" s="99" t="str">
        <x:v>N/A</x:v>
      </x:c>
      <x:c r="K47" s="99" t="str">
        <x:v>N/A</x:v>
      </x:c>
      <x:c r="L47" s="99" t="str">
        <x:v>N/A</x:v>
      </x:c>
      <x:c r="M47" s="99" t="str">
        <x:v>N/A</x:v>
      </x:c>
      <x:c r="N47" s="99" t="str">
        <x:v>N/A</x:v>
      </x:c>
      <x:c r="O47" s="96" t="str">
        <x:f>IF(E47="","",IF(E47="Small",IF(OR(F47="",G47="",H47=""),"",IF(AND(F47="Yes",G47="Small",H47="Skip"),"Yes","No")),IF(OR(E47="Normal",E47="Large"),IF(OR(F47="",G47="",H47="",K47="",L47="",M47="",N47=""),"",IF(AND(F47="Yes",G47=E47,H47="Pick",K47="Yes",L47="No",M47=IF(E47="Normal","Normal_Bin","Large_Bin"),N47="Yes"),"Yes","No")),"")))</x:f>
      </x:c>
      <x:c r="P47" s="99" t="str">
        <x:v>NONE</x:v>
      </x:c>
      <x:c r="Q47" s="101"/>
      <x:c r="R47" s="102"/>
    </x:row>
    <x:row r="48">
      <x:c r="A48" s="97" t="n">
        <x:v>4</x:v>
      </x:c>
      <x:c r="B48" s="98" t="str">
        <x:v>C</x:v>
      </x:c>
      <x:c r="C48" s="97" t="n">
        <x:v>4</x:v>
      </x:c>
      <x:c r="D48" s="96" t="str">
        <x:f>IF(OR(A48="",B48="",E48=""),"","R"&amp;TEXT(A48,"00")&amp;"-"&amp;B48&amp;"-"&amp;LEFT(E48,1)&amp;IF(COUNTIFS($A$2:A48,A48,$B$2:B48,B48,$E$2:E48,E48)&gt;1,"-"&amp;COUNTIFS($A$2:A48,A48,$B$2:B48,B48,$E$2:E48,E48),""))</x:f>
        <x:v>R04-C-N</x:v>
      </x:c>
      <x:c r="E48" s="99" t="str">
        <x:v>Normal</x:v>
      </x:c>
      <x:c r="F48" s="99"/>
      <x:c r="G48" s="99"/>
      <x:c r="H48" s="99"/>
      <x:c r="I48" s="100"/>
      <x:c r="J48" s="99"/>
      <x:c r="K48" s="99"/>
      <x:c r="L48" s="99"/>
      <x:c r="M48" s="99"/>
      <x:c r="N48" s="99"/>
      <x:c r="O48" s="96" t="str">
        <x:f>IF(E48="","",IF(E48="Small",IF(OR(F48="",G48="",H48=""),"",IF(AND(F48="Yes",G48="Small",H48="Skip"),"Yes","No")),IF(OR(E48="Normal",E48="Large"),IF(OR(F48="",G48="",H48="",K48="",L48="",M48="",N48=""),"",IF(AND(F48="Yes",G48=E48,H48="Pick",K48="Yes",L48="No",M48=IF(E48="Normal","Normal_Bin","Large_Bin"),N48="Yes"),"Yes","No")),"")))</x:f>
      </x:c>
      <x:c r="P48" s="99" t="str">
        <x:v>NONE</x:v>
      </x:c>
      <x:c r="Q48" s="101"/>
      <x:c r="R48" s="102"/>
    </x:row>
    <x:row r="49">
      <x:c r="A49" s="97" t="n">
        <x:v>4</x:v>
      </x:c>
      <x:c r="B49" s="98" t="str">
        <x:v>C</x:v>
      </x:c>
      <x:c r="C49" s="97" t="n">
        <x:v>4</x:v>
      </x:c>
      <x:c r="D49" s="96" t="str">
        <x:f>IF(OR(A49="",B49="",E49=""),"","R"&amp;TEXT(A49,"00")&amp;"-"&amp;B49&amp;"-"&amp;LEFT(E49,1)&amp;IF(COUNTIFS($A$2:A49,A49,$B$2:B49,B49,$E$2:E49,E49)&gt;1,"-"&amp;COUNTIFS($A$2:A49,A49,$B$2:B49,B49,$E$2:E49,E49),""))</x:f>
        <x:v>R04-C-L</x:v>
      </x:c>
      <x:c r="E49" s="99" t="str">
        <x:v>Large</x:v>
      </x:c>
      <x:c r="F49" s="99"/>
      <x:c r="G49" s="99"/>
      <x:c r="H49" s="99"/>
      <x:c r="I49" s="100"/>
      <x:c r="J49" s="99"/>
      <x:c r="K49" s="99"/>
      <x:c r="L49" s="99"/>
      <x:c r="M49" s="99"/>
      <x:c r="N49" s="99"/>
      <x:c r="O49" s="96" t="str">
        <x:f>IF(E49="","",IF(E49="Small",IF(OR(F49="",G49="",H49=""),"",IF(AND(F49="Yes",G49="Small",H49="Skip"),"Yes","No")),IF(OR(E49="Normal",E49="Large"),IF(OR(F49="",G49="",H49="",K49="",L49="",M49="",N49=""),"",IF(AND(F49="Yes",G49=E49,H49="Pick",K49="Yes",L49="No",M49=IF(E49="Normal","Normal_Bin","Large_Bin"),N49="Yes"),"Yes","No")),"")))</x:f>
      </x:c>
      <x:c r="P49" s="99" t="str">
        <x:v>NONE</x:v>
      </x:c>
      <x:c r="Q49" s="101"/>
      <x:c r="R49" s="102"/>
    </x:row>
    <x:row r="50">
      <x:c r="A50" s="97" t="n">
        <x:v>5</x:v>
      </x:c>
      <x:c r="B50" s="98" t="str">
        <x:v>A</x:v>
      </x:c>
      <x:c r="C50" s="97" t="n">
        <x:v>1</x:v>
      </x:c>
      <x:c r="D50" s="96" t="str">
        <x:f>IF(OR(A50="",B50="",E50=""),"","R"&amp;TEXT(A50,"00")&amp;"-"&amp;B50&amp;"-"&amp;LEFT(E50,1)&amp;IF(COUNTIFS($A$2:A50,A50,$B$2:B50,B50,$E$2:E50,E50)&gt;1,"-"&amp;COUNTIFS($A$2:A50,A50,$B$2:B50,B50,$E$2:E50,E50),""))</x:f>
        <x:v>R05-A-S</x:v>
      </x:c>
      <x:c r="E50" s="99" t="str">
        <x:v>Small</x:v>
      </x:c>
      <x:c r="F50" s="99"/>
      <x:c r="G50" s="99"/>
      <x:c r="H50" s="99"/>
      <x:c r="I50" s="100" t="n">
        <x:v>0</x:v>
      </x:c>
      <x:c r="J50" s="99" t="str">
        <x:v>N/A</x:v>
      </x:c>
      <x:c r="K50" s="99" t="str">
        <x:v>N/A</x:v>
      </x:c>
      <x:c r="L50" s="99" t="str">
        <x:v>N/A</x:v>
      </x:c>
      <x:c r="M50" s="99" t="str">
        <x:v>N/A</x:v>
      </x:c>
      <x:c r="N50" s="99" t="str">
        <x:v>N/A</x:v>
      </x:c>
      <x:c r="O50" s="96" t="str">
        <x:f>IF(E50="","",IF(E50="Small",IF(OR(F50="",G50="",H50=""),"",IF(AND(F50="Yes",G50="Small",H50="Skip"),"Yes","No")),IF(OR(E50="Normal",E50="Large"),IF(OR(F50="",G50="",H50="",K50="",L50="",M50="",N50=""),"",IF(AND(F50="Yes",G50=E50,H50="Pick",K50="Yes",L50="No",M50=IF(E50="Normal","Normal_Bin","Large_Bin"),N50="Yes"),"Yes","No")),"")))</x:f>
      </x:c>
      <x:c r="P50" s="99" t="str">
        <x:v>NONE</x:v>
      </x:c>
      <x:c r="Q50" s="101"/>
      <x:c r="R50" s="102"/>
    </x:row>
    <x:row r="51">
      <x:c r="A51" s="97" t="n">
        <x:v>5</x:v>
      </x:c>
      <x:c r="B51" s="98" t="str">
        <x:v>A</x:v>
      </x:c>
      <x:c r="C51" s="97" t="n">
        <x:v>1</x:v>
      </x:c>
      <x:c r="D51" s="96" t="str">
        <x:f>IF(OR(A51="",B51="",E51=""),"","R"&amp;TEXT(A51,"00")&amp;"-"&amp;B51&amp;"-"&amp;LEFT(E51,1)&amp;IF(COUNTIFS($A$2:A51,A51,$B$2:B51,B51,$E$2:E51,E51)&gt;1,"-"&amp;COUNTIFS($A$2:A51,A51,$B$2:B51,B51,$E$2:E51,E51),""))</x:f>
        <x:v>R05-A-N</x:v>
      </x:c>
      <x:c r="E51" s="99" t="str">
        <x:v>Normal</x:v>
      </x:c>
      <x:c r="F51" s="99"/>
      <x:c r="G51" s="99"/>
      <x:c r="H51" s="99"/>
      <x:c r="I51" s="100"/>
      <x:c r="J51" s="99"/>
      <x:c r="K51" s="99"/>
      <x:c r="L51" s="99"/>
      <x:c r="M51" s="99"/>
      <x:c r="N51" s="99"/>
      <x:c r="O51" s="96" t="str">
        <x:f>IF(E51="","",IF(E51="Small",IF(OR(F51="",G51="",H51=""),"",IF(AND(F51="Yes",G51="Small",H51="Skip"),"Yes","No")),IF(OR(E51="Normal",E51="Large"),IF(OR(F51="",G51="",H51="",K51="",L51="",M51="",N51=""),"",IF(AND(F51="Yes",G51=E51,H51="Pick",K51="Yes",L51="No",M51=IF(E51="Normal","Normal_Bin","Large_Bin"),N51="Yes"),"Yes","No")),"")))</x:f>
      </x:c>
      <x:c r="P51" s="99" t="str">
        <x:v>NONE</x:v>
      </x:c>
      <x:c r="Q51" s="101"/>
      <x:c r="R51" s="102"/>
    </x:row>
    <x:row r="52">
      <x:c r="A52" s="97" t="n">
        <x:v>5</x:v>
      </x:c>
      <x:c r="B52" s="98" t="str">
        <x:v>A</x:v>
      </x:c>
      <x:c r="C52" s="97" t="n">
        <x:v>1</x:v>
      </x:c>
      <x:c r="D52" s="96" t="str">
        <x:f>IF(OR(A52="",B52="",E52=""),"","R"&amp;TEXT(A52,"00")&amp;"-"&amp;B52&amp;"-"&amp;LEFT(E52,1)&amp;IF(COUNTIFS($A$2:A52,A52,$B$2:B52,B52,$E$2:E52,E52)&gt;1,"-"&amp;COUNTIFS($A$2:A52,A52,$B$2:B52,B52,$E$2:E52,E52),""))</x:f>
        <x:v>R05-A-L</x:v>
      </x:c>
      <x:c r="E52" s="99" t="str">
        <x:v>Large</x:v>
      </x:c>
      <x:c r="F52" s="99"/>
      <x:c r="G52" s="99"/>
      <x:c r="H52" s="99"/>
      <x:c r="I52" s="100"/>
      <x:c r="J52" s="99"/>
      <x:c r="K52" s="99"/>
      <x:c r="L52" s="99"/>
      <x:c r="M52" s="99"/>
      <x:c r="N52" s="99"/>
      <x:c r="O52" s="96" t="str">
        <x:f>IF(E52="","",IF(E52="Small",IF(OR(F52="",G52="",H52=""),"",IF(AND(F52="Yes",G52="Small",H52="Skip"),"Yes","No")),IF(OR(E52="Normal",E52="Large"),IF(OR(F52="",G52="",H52="",K52="",L52="",M52="",N52=""),"",IF(AND(F52="Yes",G52=E52,H52="Pick",K52="Yes",L52="No",M52=IF(E52="Normal","Normal_Bin","Large_Bin"),N52="Yes"),"Yes","No")),"")))</x:f>
      </x:c>
      <x:c r="P52" s="99" t="str">
        <x:v>NONE</x:v>
      </x:c>
      <x:c r="Q52" s="101"/>
      <x:c r="R52" s="102"/>
    </x:row>
    <x:row r="53">
      <x:c r="A53" s="97" t="n">
        <x:v>5</x:v>
      </x:c>
      <x:c r="B53" s="98" t="str">
        <x:v>B</x:v>
      </x:c>
      <x:c r="C53" s="97" t="n">
        <x:v>2</x:v>
      </x:c>
      <x:c r="D53" s="96" t="str">
        <x:f>IF(OR(A53="",B53="",E53=""),"","R"&amp;TEXT(A53,"00")&amp;"-"&amp;B53&amp;"-"&amp;LEFT(E53,1)&amp;IF(COUNTIFS($A$2:A53,A53,$B$2:B53,B53,$E$2:E53,E53)&gt;1,"-"&amp;COUNTIFS($A$2:A53,A53,$B$2:B53,B53,$E$2:E53,E53),""))</x:f>
        <x:v>R05-B-S</x:v>
      </x:c>
      <x:c r="E53" s="99" t="str">
        <x:v>Small</x:v>
      </x:c>
      <x:c r="F53" s="99"/>
      <x:c r="G53" s="99"/>
      <x:c r="H53" s="99"/>
      <x:c r="I53" s="100" t="n">
        <x:v>0</x:v>
      </x:c>
      <x:c r="J53" s="99" t="str">
        <x:v>N/A</x:v>
      </x:c>
      <x:c r="K53" s="99" t="str">
        <x:v>N/A</x:v>
      </x:c>
      <x:c r="L53" s="99" t="str">
        <x:v>N/A</x:v>
      </x:c>
      <x:c r="M53" s="99" t="str">
        <x:v>N/A</x:v>
      </x:c>
      <x:c r="N53" s="99" t="str">
        <x:v>N/A</x:v>
      </x:c>
      <x:c r="O53" s="96" t="str">
        <x:f>IF(E53="","",IF(E53="Small",IF(OR(F53="",G53="",H53=""),"",IF(AND(F53="Yes",G53="Small",H53="Skip"),"Yes","No")),IF(OR(E53="Normal",E53="Large"),IF(OR(F53="",G53="",H53="",K53="",L53="",M53="",N53=""),"",IF(AND(F53="Yes",G53=E53,H53="Pick",K53="Yes",L53="No",M53=IF(E53="Normal","Normal_Bin","Large_Bin"),N53="Yes"),"Yes","No")),"")))</x:f>
      </x:c>
      <x:c r="P53" s="99" t="str">
        <x:v>NONE</x:v>
      </x:c>
      <x:c r="Q53" s="101"/>
      <x:c r="R53" s="102"/>
    </x:row>
    <x:row r="54">
      <x:c r="A54" s="97" t="n">
        <x:v>5</x:v>
      </x:c>
      <x:c r="B54" s="98" t="str">
        <x:v>B</x:v>
      </x:c>
      <x:c r="C54" s="97" t="n">
        <x:v>2</x:v>
      </x:c>
      <x:c r="D54" s="96" t="str">
        <x:f>IF(OR(A54="",B54="",E54=""),"","R"&amp;TEXT(A54,"00")&amp;"-"&amp;B54&amp;"-"&amp;LEFT(E54,1)&amp;IF(COUNTIFS($A$2:A54,A54,$B$2:B54,B54,$E$2:E54,E54)&gt;1,"-"&amp;COUNTIFS($A$2:A54,A54,$B$2:B54,B54,$E$2:E54,E54),""))</x:f>
        <x:v>R05-B-N</x:v>
      </x:c>
      <x:c r="E54" s="99" t="str">
        <x:v>Normal</x:v>
      </x:c>
      <x:c r="F54" s="99"/>
      <x:c r="G54" s="99"/>
      <x:c r="H54" s="99"/>
      <x:c r="I54" s="100"/>
      <x:c r="J54" s="99"/>
      <x:c r="K54" s="99"/>
      <x:c r="L54" s="99"/>
      <x:c r="M54" s="99"/>
      <x:c r="N54" s="99"/>
      <x:c r="O54" s="96" t="str">
        <x:f>IF(E54="","",IF(E54="Small",IF(OR(F54="",G54="",H54=""),"",IF(AND(F54="Yes",G54="Small",H54="Skip"),"Yes","No")),IF(OR(E54="Normal",E54="Large"),IF(OR(F54="",G54="",H54="",K54="",L54="",M54="",N54=""),"",IF(AND(F54="Yes",G54=E54,H54="Pick",K54="Yes",L54="No",M54=IF(E54="Normal","Normal_Bin","Large_Bin"),N54="Yes"),"Yes","No")),"")))</x:f>
      </x:c>
      <x:c r="P54" s="99" t="str">
        <x:v>NONE</x:v>
      </x:c>
      <x:c r="Q54" s="101"/>
      <x:c r="R54" s="102"/>
    </x:row>
    <x:row r="55">
      <x:c r="A55" s="97" t="n">
        <x:v>5</x:v>
      </x:c>
      <x:c r="B55" s="98" t="str">
        <x:v>B</x:v>
      </x:c>
      <x:c r="C55" s="97" t="n">
        <x:v>2</x:v>
      </x:c>
      <x:c r="D55" s="96" t="str">
        <x:f>IF(OR(A55="",B55="",E55=""),"","R"&amp;TEXT(A55,"00")&amp;"-"&amp;B55&amp;"-"&amp;LEFT(E55,1)&amp;IF(COUNTIFS($A$2:A55,A55,$B$2:B55,B55,$E$2:E55,E55)&gt;1,"-"&amp;COUNTIFS($A$2:A55,A55,$B$2:B55,B55,$E$2:E55,E55),""))</x:f>
        <x:v>R05-B-L</x:v>
      </x:c>
      <x:c r="E55" s="99" t="str">
        <x:v>Large</x:v>
      </x:c>
      <x:c r="F55" s="99"/>
      <x:c r="G55" s="99"/>
      <x:c r="H55" s="99"/>
      <x:c r="I55" s="100"/>
      <x:c r="J55" s="99"/>
      <x:c r="K55" s="99"/>
      <x:c r="L55" s="99"/>
      <x:c r="M55" s="99"/>
      <x:c r="N55" s="99"/>
      <x:c r="O55" s="96" t="str">
        <x:f>IF(E55="","",IF(E55="Small",IF(OR(F55="",G55="",H55=""),"",IF(AND(F55="Yes",G55="Small",H55="Skip"),"Yes","No")),IF(OR(E55="Normal",E55="Large"),IF(OR(F55="",G55="",H55="",K55="",L55="",M55="",N55=""),"",IF(AND(F55="Yes",G55=E55,H55="Pick",K55="Yes",L55="No",M55=IF(E55="Normal","Normal_Bin","Large_Bin"),N55="Yes"),"Yes","No")),"")))</x:f>
      </x:c>
      <x:c r="P55" s="99" t="str">
        <x:v>NONE</x:v>
      </x:c>
      <x:c r="Q55" s="101"/>
      <x:c r="R55" s="102"/>
    </x:row>
    <x:row r="56">
      <x:c r="A56" s="97" t="n">
        <x:v>5</x:v>
      </x:c>
      <x:c r="B56" s="98" t="str">
        <x:v>C</x:v>
      </x:c>
      <x:c r="C56" s="97" t="n">
        <x:v>3</x:v>
      </x:c>
      <x:c r="D56" s="96" t="str">
        <x:f>IF(OR(A56="",B56="",E56=""),"","R"&amp;TEXT(A56,"00")&amp;"-"&amp;B56&amp;"-"&amp;LEFT(E56,1)&amp;IF(COUNTIFS($A$2:A56,A56,$B$2:B56,B56,$E$2:E56,E56)&gt;1,"-"&amp;COUNTIFS($A$2:A56,A56,$B$2:B56,B56,$E$2:E56,E56),""))</x:f>
        <x:v>R05-C-S</x:v>
      </x:c>
      <x:c r="E56" s="99" t="str">
        <x:v>Small</x:v>
      </x:c>
      <x:c r="F56" s="99"/>
      <x:c r="G56" s="99"/>
      <x:c r="H56" s="99"/>
      <x:c r="I56" s="100" t="n">
        <x:v>0</x:v>
      </x:c>
      <x:c r="J56" s="99" t="str">
        <x:v>N/A</x:v>
      </x:c>
      <x:c r="K56" s="99" t="str">
        <x:v>N/A</x:v>
      </x:c>
      <x:c r="L56" s="99" t="str">
        <x:v>N/A</x:v>
      </x:c>
      <x:c r="M56" s="99" t="str">
        <x:v>N/A</x:v>
      </x:c>
      <x:c r="N56" s="99" t="str">
        <x:v>N/A</x:v>
      </x:c>
      <x:c r="O56" s="96" t="str">
        <x:f>IF(E56="","",IF(E56="Small",IF(OR(F56="",G56="",H56=""),"",IF(AND(F56="Yes",G56="Small",H56="Skip"),"Yes","No")),IF(OR(E56="Normal",E56="Large"),IF(OR(F56="",G56="",H56="",K56="",L56="",M56="",N56=""),"",IF(AND(F56="Yes",G56=E56,H56="Pick",K56="Yes",L56="No",M56=IF(E56="Normal","Normal_Bin","Large_Bin"),N56="Yes"),"Yes","No")),"")))</x:f>
      </x:c>
      <x:c r="P56" s="99" t="str">
        <x:v>NONE</x:v>
      </x:c>
      <x:c r="Q56" s="101"/>
      <x:c r="R56" s="102"/>
    </x:row>
    <x:row r="57">
      <x:c r="A57" s="97" t="n">
        <x:v>5</x:v>
      </x:c>
      <x:c r="B57" s="98" t="str">
        <x:v>C</x:v>
      </x:c>
      <x:c r="C57" s="97" t="n">
        <x:v>3</x:v>
      </x:c>
      <x:c r="D57" s="96" t="str">
        <x:f>IF(OR(A57="",B57="",E57=""),"","R"&amp;TEXT(A57,"00")&amp;"-"&amp;B57&amp;"-"&amp;LEFT(E57,1)&amp;IF(COUNTIFS($A$2:A57,A57,$B$2:B57,B57,$E$2:E57,E57)&gt;1,"-"&amp;COUNTIFS($A$2:A57,A57,$B$2:B57,B57,$E$2:E57,E57),""))</x:f>
        <x:v>R05-C-N</x:v>
      </x:c>
      <x:c r="E57" s="99" t="str">
        <x:v>Normal</x:v>
      </x:c>
      <x:c r="F57" s="99"/>
      <x:c r="G57" s="99"/>
      <x:c r="H57" s="99"/>
      <x:c r="I57" s="100"/>
      <x:c r="J57" s="99"/>
      <x:c r="K57" s="99"/>
      <x:c r="L57" s="99"/>
      <x:c r="M57" s="99"/>
      <x:c r="N57" s="99"/>
      <x:c r="O57" s="96" t="str">
        <x:f>IF(E57="","",IF(E57="Small",IF(OR(F57="",G57="",H57=""),"",IF(AND(F57="Yes",G57="Small",H57="Skip"),"Yes","No")),IF(OR(E57="Normal",E57="Large"),IF(OR(F57="",G57="",H57="",K57="",L57="",M57="",N57=""),"",IF(AND(F57="Yes",G57=E57,H57="Pick",K57="Yes",L57="No",M57=IF(E57="Normal","Normal_Bin","Large_Bin"),N57="Yes"),"Yes","No")),"")))</x:f>
      </x:c>
      <x:c r="P57" s="99" t="str">
        <x:v>NONE</x:v>
      </x:c>
      <x:c r="Q57" s="101"/>
      <x:c r="R57" s="102"/>
    </x:row>
    <x:row r="58">
      <x:c r="A58" s="97" t="n">
        <x:v>5</x:v>
      </x:c>
      <x:c r="B58" s="98" t="str">
        <x:v>C</x:v>
      </x:c>
      <x:c r="C58" s="97" t="n">
        <x:v>3</x:v>
      </x:c>
      <x:c r="D58" s="96" t="str">
        <x:f>IF(OR(A58="",B58="",E58=""),"","R"&amp;TEXT(A58,"00")&amp;"-"&amp;B58&amp;"-"&amp;LEFT(E58,1)&amp;IF(COUNTIFS($A$2:A58,A58,$B$2:B58,B58,$E$2:E58,E58)&gt;1,"-"&amp;COUNTIFS($A$2:A58,A58,$B$2:B58,B58,$E$2:E58,E58),""))</x:f>
        <x:v>R05-C-L</x:v>
      </x:c>
      <x:c r="E58" s="99" t="str">
        <x:v>Large</x:v>
      </x:c>
      <x:c r="F58" s="99"/>
      <x:c r="G58" s="99"/>
      <x:c r="H58" s="99"/>
      <x:c r="I58" s="100"/>
      <x:c r="J58" s="99"/>
      <x:c r="K58" s="99"/>
      <x:c r="L58" s="99"/>
      <x:c r="M58" s="99"/>
      <x:c r="N58" s="99"/>
      <x:c r="O58" s="96" t="str">
        <x:f>IF(E58="","",IF(E58="Small",IF(OR(F58="",G58="",H58=""),"",IF(AND(F58="Yes",G58="Small",H58="Skip"),"Yes","No")),IF(OR(E58="Normal",E58="Large"),IF(OR(F58="",G58="",H58="",K58="",L58="",M58="",N58=""),"",IF(AND(F58="Yes",G58=E58,H58="Pick",K58="Yes",L58="No",M58=IF(E58="Normal","Normal_Bin","Large_Bin"),N58="Yes"),"Yes","No")),"")))</x:f>
      </x:c>
      <x:c r="P58" s="99" t="str">
        <x:v>NONE</x:v>
      </x:c>
      <x:c r="Q58" s="101"/>
      <x:c r="R58" s="102"/>
    </x:row>
    <x:row r="59">
      <x:c r="A59" s="97" t="n">
        <x:v>5</x:v>
      </x:c>
      <x:c r="B59" s="98" t="str">
        <x:v>D</x:v>
      </x:c>
      <x:c r="C59" s="97" t="n">
        <x:v>4</x:v>
      </x:c>
      <x:c r="D59" s="96" t="str">
        <x:f>IF(OR(A59="",B59="",E59=""),"","R"&amp;TEXT(A59,"00")&amp;"-"&amp;B59&amp;"-"&amp;LEFT(E59,1)&amp;IF(COUNTIFS($A$2:A59,A59,$B$2:B59,B59,$E$2:E59,E59)&gt;1,"-"&amp;COUNTIFS($A$2:A59,A59,$B$2:B59,B59,$E$2:E59,E59),""))</x:f>
        <x:v>R05-D-S</x:v>
      </x:c>
      <x:c r="E59" s="99" t="str">
        <x:v>Small</x:v>
      </x:c>
      <x:c r="F59" s="99"/>
      <x:c r="G59" s="99"/>
      <x:c r="H59" s="99"/>
      <x:c r="I59" s="100" t="n">
        <x:v>0</x:v>
      </x:c>
      <x:c r="J59" s="99" t="str">
        <x:v>N/A</x:v>
      </x:c>
      <x:c r="K59" s="99" t="str">
        <x:v>N/A</x:v>
      </x:c>
      <x:c r="L59" s="99" t="str">
        <x:v>N/A</x:v>
      </x:c>
      <x:c r="M59" s="99" t="str">
        <x:v>N/A</x:v>
      </x:c>
      <x:c r="N59" s="99" t="str">
        <x:v>N/A</x:v>
      </x:c>
      <x:c r="O59" s="96" t="str">
        <x:f>IF(E59="","",IF(E59="Small",IF(OR(F59="",G59="",H59=""),"",IF(AND(F59="Yes",G59="Small",H59="Skip"),"Yes","No")),IF(OR(E59="Normal",E59="Large"),IF(OR(F59="",G59="",H59="",K59="",L59="",M59="",N59=""),"",IF(AND(F59="Yes",G59=E59,H59="Pick",K59="Yes",L59="No",M59=IF(E59="Normal","Normal_Bin","Large_Bin"),N59="Yes"),"Yes","No")),"")))</x:f>
      </x:c>
      <x:c r="P59" s="99" t="str">
        <x:v>NONE</x:v>
      </x:c>
      <x:c r="Q59" s="101"/>
      <x:c r="R59" s="102"/>
    </x:row>
    <x:row r="60">
      <x:c r="A60" s="97" t="n">
        <x:v>5</x:v>
      </x:c>
      <x:c r="B60" s="98" t="str">
        <x:v>D</x:v>
      </x:c>
      <x:c r="C60" s="97" t="n">
        <x:v>4</x:v>
      </x:c>
      <x:c r="D60" s="96" t="str">
        <x:f>IF(OR(A60="",B60="",E60=""),"","R"&amp;TEXT(A60,"00")&amp;"-"&amp;B60&amp;"-"&amp;LEFT(E60,1)&amp;IF(COUNTIFS($A$2:A60,A60,$B$2:B60,B60,$E$2:E60,E60)&gt;1,"-"&amp;COUNTIFS($A$2:A60,A60,$B$2:B60,B60,$E$2:E60,E60),""))</x:f>
        <x:v>R05-D-N</x:v>
      </x:c>
      <x:c r="E60" s="99" t="str">
        <x:v>Normal</x:v>
      </x:c>
      <x:c r="F60" s="99"/>
      <x:c r="G60" s="99"/>
      <x:c r="H60" s="99"/>
      <x:c r="I60" s="100"/>
      <x:c r="J60" s="99"/>
      <x:c r="K60" s="99"/>
      <x:c r="L60" s="99"/>
      <x:c r="M60" s="99"/>
      <x:c r="N60" s="99"/>
      <x:c r="O60" s="96" t="str">
        <x:f>IF(E60="","",IF(E60="Small",IF(OR(F60="",G60="",H60=""),"",IF(AND(F60="Yes",G60="Small",H60="Skip"),"Yes","No")),IF(OR(E60="Normal",E60="Large"),IF(OR(F60="",G60="",H60="",K60="",L60="",M60="",N60=""),"",IF(AND(F60="Yes",G60=E60,H60="Pick",K60="Yes",L60="No",M60=IF(E60="Normal","Normal_Bin","Large_Bin"),N60="Yes"),"Yes","No")),"")))</x:f>
      </x:c>
      <x:c r="P60" s="99" t="str">
        <x:v>NONE</x:v>
      </x:c>
      <x:c r="Q60" s="101"/>
      <x:c r="R60" s="102"/>
    </x:row>
    <x:row r="61">
      <x:c r="A61" s="97" t="n">
        <x:v>5</x:v>
      </x:c>
      <x:c r="B61" s="98" t="str">
        <x:v>D</x:v>
      </x:c>
      <x:c r="C61" s="97" t="n">
        <x:v>4</x:v>
      </x:c>
      <x:c r="D61" s="96" t="str">
        <x:f>IF(OR(A61="",B61="",E61=""),"","R"&amp;TEXT(A61,"00")&amp;"-"&amp;B61&amp;"-"&amp;LEFT(E61,1)&amp;IF(COUNTIFS($A$2:A61,A61,$B$2:B61,B61,$E$2:E61,E61)&gt;1,"-"&amp;COUNTIFS($A$2:A61,A61,$B$2:B61,B61,$E$2:E61,E61),""))</x:f>
        <x:v>R05-D-L</x:v>
      </x:c>
      <x:c r="E61" s="99" t="str">
        <x:v>Large</x:v>
      </x:c>
      <x:c r="F61" s="99"/>
      <x:c r="G61" s="99"/>
      <x:c r="H61" s="99"/>
      <x:c r="I61" s="100"/>
      <x:c r="J61" s="99"/>
      <x:c r="K61" s="99"/>
      <x:c r="L61" s="99"/>
      <x:c r="M61" s="99"/>
      <x:c r="N61" s="99"/>
      <x:c r="O61" s="96" t="str">
        <x:f>IF(E61="","",IF(E61="Small",IF(OR(F61="",G61="",H61=""),"",IF(AND(F61="Yes",G61="Small",H61="Skip"),"Yes","No")),IF(OR(E61="Normal",E61="Large"),IF(OR(F61="",G61="",H61="",K61="",L61="",M61="",N61=""),"",IF(AND(F61="Yes",G61=E61,H61="Pick",K61="Yes",L61="No",M61=IF(E61="Normal","Normal_Bin","Large_Bin"),N61="Yes"),"Yes","No")),"")))</x:f>
      </x:c>
      <x:c r="P61" s="99" t="str">
        <x:v>NONE</x:v>
      </x:c>
      <x:c r="Q61" s="101"/>
      <x:c r="R61" s="102"/>
    </x:row>
    <x:row r="62">
      <x:c r="A62" s="97" t="n">
        <x:v>6</x:v>
      </x:c>
      <x:c r="B62" s="98" t="str">
        <x:v>B</x:v>
      </x:c>
      <x:c r="C62" s="97" t="n">
        <x:v>1</x:v>
      </x:c>
      <x:c r="D62" s="96" t="str">
        <x:f>IF(OR(A62="",B62="",E62=""),"","R"&amp;TEXT(A62,"00")&amp;"-"&amp;B62&amp;"-"&amp;LEFT(E62,1)&amp;IF(COUNTIFS($A$2:A62,A62,$B$2:B62,B62,$E$2:E62,E62)&gt;1,"-"&amp;COUNTIFS($A$2:A62,A62,$B$2:B62,B62,$E$2:E62,E62),""))</x:f>
        <x:v>R06-B-S</x:v>
      </x:c>
      <x:c r="E62" s="99" t="str">
        <x:v>Small</x:v>
      </x:c>
      <x:c r="F62" s="99"/>
      <x:c r="G62" s="99"/>
      <x:c r="H62" s="99"/>
      <x:c r="I62" s="100" t="n">
        <x:v>0</x:v>
      </x:c>
      <x:c r="J62" s="99" t="str">
        <x:v>N/A</x:v>
      </x:c>
      <x:c r="K62" s="99" t="str">
        <x:v>N/A</x:v>
      </x:c>
      <x:c r="L62" s="99" t="str">
        <x:v>N/A</x:v>
      </x:c>
      <x:c r="M62" s="99" t="str">
        <x:v>N/A</x:v>
      </x:c>
      <x:c r="N62" s="99" t="str">
        <x:v>N/A</x:v>
      </x:c>
      <x:c r="O62" s="96" t="str">
        <x:f>IF(E62="","",IF(E62="Small",IF(OR(F62="",G62="",H62=""),"",IF(AND(F62="Yes",G62="Small",H62="Skip"),"Yes","No")),IF(OR(E62="Normal",E62="Large"),IF(OR(F62="",G62="",H62="",K62="",L62="",M62="",N62=""),"",IF(AND(F62="Yes",G62=E62,H62="Pick",K62="Yes",L62="No",M62=IF(E62="Normal","Normal_Bin","Large_Bin"),N62="Yes"),"Yes","No")),"")))</x:f>
      </x:c>
      <x:c r="P62" s="99" t="str">
        <x:v>NONE</x:v>
      </x:c>
      <x:c r="Q62" s="101"/>
      <x:c r="R62" s="102"/>
    </x:row>
    <x:row r="63">
      <x:c r="A63" s="97" t="n">
        <x:v>6</x:v>
      </x:c>
      <x:c r="B63" s="98" t="str">
        <x:v>B</x:v>
      </x:c>
      <x:c r="C63" s="97" t="n">
        <x:v>1</x:v>
      </x:c>
      <x:c r="D63" s="96" t="str">
        <x:f>IF(OR(A63="",B63="",E63=""),"","R"&amp;TEXT(A63,"00")&amp;"-"&amp;B63&amp;"-"&amp;LEFT(E63,1)&amp;IF(COUNTIFS($A$2:A63,A63,$B$2:B63,B63,$E$2:E63,E63)&gt;1,"-"&amp;COUNTIFS($A$2:A63,A63,$B$2:B63,B63,$E$2:E63,E63),""))</x:f>
        <x:v>R06-B-N</x:v>
      </x:c>
      <x:c r="E63" s="99" t="str">
        <x:v>Normal</x:v>
      </x:c>
      <x:c r="F63" s="99"/>
      <x:c r="G63" s="99"/>
      <x:c r="H63" s="99"/>
      <x:c r="I63" s="100"/>
      <x:c r="J63" s="99"/>
      <x:c r="K63" s="99"/>
      <x:c r="L63" s="99"/>
      <x:c r="M63" s="99"/>
      <x:c r="N63" s="99"/>
      <x:c r="O63" s="96" t="str">
        <x:f>IF(E63="","",IF(E63="Small",IF(OR(F63="",G63="",H63=""),"",IF(AND(F63="Yes",G63="Small",H63="Skip"),"Yes","No")),IF(OR(E63="Normal",E63="Large"),IF(OR(F63="",G63="",H63="",K63="",L63="",M63="",N63=""),"",IF(AND(F63="Yes",G63=E63,H63="Pick",K63="Yes",L63="No",M63=IF(E63="Normal","Normal_Bin","Large_Bin"),N63="Yes"),"Yes","No")),"")))</x:f>
      </x:c>
      <x:c r="P63" s="99" t="str">
        <x:v>NONE</x:v>
      </x:c>
      <x:c r="Q63" s="101"/>
      <x:c r="R63" s="102"/>
    </x:row>
    <x:row r="64">
      <x:c r="A64" s="97" t="n">
        <x:v>6</x:v>
      </x:c>
      <x:c r="B64" s="98" t="str">
        <x:v>B</x:v>
      </x:c>
      <x:c r="C64" s="97" t="n">
        <x:v>1</x:v>
      </x:c>
      <x:c r="D64" s="96" t="str">
        <x:f>IF(OR(A64="",B64="",E64=""),"","R"&amp;TEXT(A64,"00")&amp;"-"&amp;B64&amp;"-"&amp;LEFT(E64,1)&amp;IF(COUNTIFS($A$2:A64,A64,$B$2:B64,B64,$E$2:E64,E64)&gt;1,"-"&amp;COUNTIFS($A$2:A64,A64,$B$2:B64,B64,$E$2:E64,E64),""))</x:f>
        <x:v>R06-B-L</x:v>
      </x:c>
      <x:c r="E64" s="99" t="str">
        <x:v>Large</x:v>
      </x:c>
      <x:c r="F64" s="99"/>
      <x:c r="G64" s="99"/>
      <x:c r="H64" s="99"/>
      <x:c r="I64" s="100"/>
      <x:c r="J64" s="99"/>
      <x:c r="K64" s="99"/>
      <x:c r="L64" s="99"/>
      <x:c r="M64" s="99"/>
      <x:c r="N64" s="99"/>
      <x:c r="O64" s="96" t="str">
        <x:f>IF(E64="","",IF(E64="Small",IF(OR(F64="",G64="",H64=""),"",IF(AND(F64="Yes",G64="Small",H64="Skip"),"Yes","No")),IF(OR(E64="Normal",E64="Large"),IF(OR(F64="",G64="",H64="",K64="",L64="",M64="",N64=""),"",IF(AND(F64="Yes",G64=E64,H64="Pick",K64="Yes",L64="No",M64=IF(E64="Normal","Normal_Bin","Large_Bin"),N64="Yes"),"Yes","No")),"")))</x:f>
      </x:c>
      <x:c r="P64" s="99" t="str">
        <x:v>NONE</x:v>
      </x:c>
      <x:c r="Q64" s="101"/>
      <x:c r="R64" s="102"/>
    </x:row>
    <x:row r="65">
      <x:c r="A65" s="97" t="n">
        <x:v>6</x:v>
      </x:c>
      <x:c r="B65" s="98" t="str">
        <x:v>C</x:v>
      </x:c>
      <x:c r="C65" s="97" t="n">
        <x:v>2</x:v>
      </x:c>
      <x:c r="D65" s="96" t="str">
        <x:f>IF(OR(A65="",B65="",E65=""),"","R"&amp;TEXT(A65,"00")&amp;"-"&amp;B65&amp;"-"&amp;LEFT(E65,1)&amp;IF(COUNTIFS($A$2:A65,A65,$B$2:B65,B65,$E$2:E65,E65)&gt;1,"-"&amp;COUNTIFS($A$2:A65,A65,$B$2:B65,B65,$E$2:E65,E65),""))</x:f>
        <x:v>R06-C-S</x:v>
      </x:c>
      <x:c r="E65" s="99" t="str">
        <x:v>Small</x:v>
      </x:c>
      <x:c r="F65" s="99"/>
      <x:c r="G65" s="99"/>
      <x:c r="H65" s="99"/>
      <x:c r="I65" s="100" t="n">
        <x:v>0</x:v>
      </x:c>
      <x:c r="J65" s="99" t="str">
        <x:v>N/A</x:v>
      </x:c>
      <x:c r="K65" s="99" t="str">
        <x:v>N/A</x:v>
      </x:c>
      <x:c r="L65" s="99" t="str">
        <x:v>N/A</x:v>
      </x:c>
      <x:c r="M65" s="99" t="str">
        <x:v>N/A</x:v>
      </x:c>
      <x:c r="N65" s="99" t="str">
        <x:v>N/A</x:v>
      </x:c>
      <x:c r="O65" s="96" t="str">
        <x:f>IF(E65="","",IF(E65="Small",IF(OR(F65="",G65="",H65=""),"",IF(AND(F65="Yes",G65="Small",H65="Skip"),"Yes","No")),IF(OR(E65="Normal",E65="Large"),IF(OR(F65="",G65="",H65="",K65="",L65="",M65="",N65=""),"",IF(AND(F65="Yes",G65=E65,H65="Pick",K65="Yes",L65="No",M65=IF(E65="Normal","Normal_Bin","Large_Bin"),N65="Yes"),"Yes","No")),"")))</x:f>
      </x:c>
      <x:c r="P65" s="99" t="str">
        <x:v>NONE</x:v>
      </x:c>
      <x:c r="Q65" s="101"/>
      <x:c r="R65" s="102"/>
    </x:row>
    <x:row r="66">
      <x:c r="A66" s="97" t="n">
        <x:v>6</x:v>
      </x:c>
      <x:c r="B66" s="98" t="str">
        <x:v>C</x:v>
      </x:c>
      <x:c r="C66" s="97" t="n">
        <x:v>2</x:v>
      </x:c>
      <x:c r="D66" s="96" t="str">
        <x:f>IF(OR(A66="",B66="",E66=""),"","R"&amp;TEXT(A66,"00")&amp;"-"&amp;B66&amp;"-"&amp;LEFT(E66,1)&amp;IF(COUNTIFS($A$2:A66,A66,$B$2:B66,B66,$E$2:E66,E66)&gt;1,"-"&amp;COUNTIFS($A$2:A66,A66,$B$2:B66,B66,$E$2:E66,E66),""))</x:f>
        <x:v>R06-C-N</x:v>
      </x:c>
      <x:c r="E66" s="99" t="str">
        <x:v>Normal</x:v>
      </x:c>
      <x:c r="F66" s="99"/>
      <x:c r="G66" s="99"/>
      <x:c r="H66" s="99"/>
      <x:c r="I66" s="100"/>
      <x:c r="J66" s="99"/>
      <x:c r="K66" s="99"/>
      <x:c r="L66" s="99"/>
      <x:c r="M66" s="99"/>
      <x:c r="N66" s="99"/>
      <x:c r="O66" s="96" t="str">
        <x:f>IF(E66="","",IF(E66="Small",IF(OR(F66="",G66="",H66=""),"",IF(AND(F66="Yes",G66="Small",H66="Skip"),"Yes","No")),IF(OR(E66="Normal",E66="Large"),IF(OR(F66="",G66="",H66="",K66="",L66="",M66="",N66=""),"",IF(AND(F66="Yes",G66=E66,H66="Pick",K66="Yes",L66="No",M66=IF(E66="Normal","Normal_Bin","Large_Bin"),N66="Yes"),"Yes","No")),"")))</x:f>
      </x:c>
      <x:c r="P66" s="99" t="str">
        <x:v>NONE</x:v>
      </x:c>
      <x:c r="Q66" s="101"/>
      <x:c r="R66" s="102"/>
    </x:row>
    <x:row r="67">
      <x:c r="A67" s="97" t="n">
        <x:v>6</x:v>
      </x:c>
      <x:c r="B67" s="98" t="str">
        <x:v>C</x:v>
      </x:c>
      <x:c r="C67" s="97" t="n">
        <x:v>2</x:v>
      </x:c>
      <x:c r="D67" s="96" t="str">
        <x:f>IF(OR(A67="",B67="",E67=""),"","R"&amp;TEXT(A67,"00")&amp;"-"&amp;B67&amp;"-"&amp;LEFT(E67,1)&amp;IF(COUNTIFS($A$2:A67,A67,$B$2:B67,B67,$E$2:E67,E67)&gt;1,"-"&amp;COUNTIFS($A$2:A67,A67,$B$2:B67,B67,$E$2:E67,E67),""))</x:f>
        <x:v>R06-C-L</x:v>
      </x:c>
      <x:c r="E67" s="99" t="str">
        <x:v>Large</x:v>
      </x:c>
      <x:c r="F67" s="99"/>
      <x:c r="G67" s="99"/>
      <x:c r="H67" s="99"/>
      <x:c r="I67" s="100"/>
      <x:c r="J67" s="99"/>
      <x:c r="K67" s="99"/>
      <x:c r="L67" s="99"/>
      <x:c r="M67" s="99"/>
      <x:c r="N67" s="99"/>
      <x:c r="O67" s="96" t="str">
        <x:f>IF(E67="","",IF(E67="Small",IF(OR(F67="",G67="",H67=""),"",IF(AND(F67="Yes",G67="Small",H67="Skip"),"Yes","No")),IF(OR(E67="Normal",E67="Large"),IF(OR(F67="",G67="",H67="",K67="",L67="",M67="",N67=""),"",IF(AND(F67="Yes",G67=E67,H67="Pick",K67="Yes",L67="No",M67=IF(E67="Normal","Normal_Bin","Large_Bin"),N67="Yes"),"Yes","No")),"")))</x:f>
      </x:c>
      <x:c r="P67" s="99" t="str">
        <x:v>NONE</x:v>
      </x:c>
      <x:c r="Q67" s="101"/>
      <x:c r="R67" s="102"/>
    </x:row>
    <x:row r="68">
      <x:c r="A68" s="97" t="n">
        <x:v>6</x:v>
      </x:c>
      <x:c r="B68" s="98" t="str">
        <x:v>D</x:v>
      </x:c>
      <x:c r="C68" s="97" t="n">
        <x:v>3</x:v>
      </x:c>
      <x:c r="D68" s="96" t="str">
        <x:f>IF(OR(A68="",B68="",E68=""),"","R"&amp;TEXT(A68,"00")&amp;"-"&amp;B68&amp;"-"&amp;LEFT(E68,1)&amp;IF(COUNTIFS($A$2:A68,A68,$B$2:B68,B68,$E$2:E68,E68)&gt;1,"-"&amp;COUNTIFS($A$2:A68,A68,$B$2:B68,B68,$E$2:E68,E68),""))</x:f>
        <x:v>R06-D-S</x:v>
      </x:c>
      <x:c r="E68" s="99" t="str">
        <x:v>Small</x:v>
      </x:c>
      <x:c r="F68" s="99"/>
      <x:c r="G68" s="99"/>
      <x:c r="H68" s="99"/>
      <x:c r="I68" s="100" t="n">
        <x:v>0</x:v>
      </x:c>
      <x:c r="J68" s="99" t="str">
        <x:v>N/A</x:v>
      </x:c>
      <x:c r="K68" s="99" t="str">
        <x:v>N/A</x:v>
      </x:c>
      <x:c r="L68" s="99" t="str">
        <x:v>N/A</x:v>
      </x:c>
      <x:c r="M68" s="99" t="str">
        <x:v>N/A</x:v>
      </x:c>
      <x:c r="N68" s="99" t="str">
        <x:v>N/A</x:v>
      </x:c>
      <x:c r="O68" s="96" t="str">
        <x:f>IF(E68="","",IF(E68="Small",IF(OR(F68="",G68="",H68=""),"",IF(AND(F68="Yes",G68="Small",H68="Skip"),"Yes","No")),IF(OR(E68="Normal",E68="Large"),IF(OR(F68="",G68="",H68="",K68="",L68="",M68="",N68=""),"",IF(AND(F68="Yes",G68=E68,H68="Pick",K68="Yes",L68="No",M68=IF(E68="Normal","Normal_Bin","Large_Bin"),N68="Yes"),"Yes","No")),"")))</x:f>
      </x:c>
      <x:c r="P68" s="99" t="str">
        <x:v>NONE</x:v>
      </x:c>
      <x:c r="Q68" s="101"/>
      <x:c r="R68" s="102"/>
    </x:row>
    <x:row r="69">
      <x:c r="A69" s="97" t="n">
        <x:v>6</x:v>
      </x:c>
      <x:c r="B69" s="98" t="str">
        <x:v>D</x:v>
      </x:c>
      <x:c r="C69" s="97" t="n">
        <x:v>3</x:v>
      </x:c>
      <x:c r="D69" s="96" t="str">
        <x:f>IF(OR(A69="",B69="",E69=""),"","R"&amp;TEXT(A69,"00")&amp;"-"&amp;B69&amp;"-"&amp;LEFT(E69,1)&amp;IF(COUNTIFS($A$2:A69,A69,$B$2:B69,B69,$E$2:E69,E69)&gt;1,"-"&amp;COUNTIFS($A$2:A69,A69,$B$2:B69,B69,$E$2:E69,E69),""))</x:f>
        <x:v>R06-D-N</x:v>
      </x:c>
      <x:c r="E69" s="99" t="str">
        <x:v>Normal</x:v>
      </x:c>
      <x:c r="F69" s="99"/>
      <x:c r="G69" s="99"/>
      <x:c r="H69" s="99"/>
      <x:c r="I69" s="100"/>
      <x:c r="J69" s="99"/>
      <x:c r="K69" s="99"/>
      <x:c r="L69" s="99"/>
      <x:c r="M69" s="99"/>
      <x:c r="N69" s="99"/>
      <x:c r="O69" s="96" t="str">
        <x:f>IF(E69="","",IF(E69="Small",IF(OR(F69="",G69="",H69=""),"",IF(AND(F69="Yes",G69="Small",H69="Skip"),"Yes","No")),IF(OR(E69="Normal",E69="Large"),IF(OR(F69="",G69="",H69="",K69="",L69="",M69="",N69=""),"",IF(AND(F69="Yes",G69=E69,H69="Pick",K69="Yes",L69="No",M69=IF(E69="Normal","Normal_Bin","Large_Bin"),N69="Yes"),"Yes","No")),"")))</x:f>
      </x:c>
      <x:c r="P69" s="99" t="str">
        <x:v>NONE</x:v>
      </x:c>
      <x:c r="Q69" s="101"/>
      <x:c r="R69" s="102"/>
    </x:row>
    <x:row r="70">
      <x:c r="A70" s="97" t="n">
        <x:v>6</x:v>
      </x:c>
      <x:c r="B70" s="98" t="str">
        <x:v>D</x:v>
      </x:c>
      <x:c r="C70" s="97" t="n">
        <x:v>3</x:v>
      </x:c>
      <x:c r="D70" s="96" t="str">
        <x:f>IF(OR(A70="",B70="",E70=""),"","R"&amp;TEXT(A70,"00")&amp;"-"&amp;B70&amp;"-"&amp;LEFT(E70,1)&amp;IF(COUNTIFS($A$2:A70,A70,$B$2:B70,B70,$E$2:E70,E70)&gt;1,"-"&amp;COUNTIFS($A$2:A70,A70,$B$2:B70,B70,$E$2:E70,E70),""))</x:f>
        <x:v>R06-D-L</x:v>
      </x:c>
      <x:c r="E70" s="99" t="str">
        <x:v>Large</x:v>
      </x:c>
      <x:c r="F70" s="99"/>
      <x:c r="G70" s="99"/>
      <x:c r="H70" s="99"/>
      <x:c r="I70" s="100"/>
      <x:c r="J70" s="99"/>
      <x:c r="K70" s="99"/>
      <x:c r="L70" s="99"/>
      <x:c r="M70" s="99"/>
      <x:c r="N70" s="99"/>
      <x:c r="O70" s="96" t="str">
        <x:f>IF(E70="","",IF(E70="Small",IF(OR(F70="",G70="",H70=""),"",IF(AND(F70="Yes",G70="Small",H70="Skip"),"Yes","No")),IF(OR(E70="Normal",E70="Large"),IF(OR(F70="",G70="",H70="",K70="",L70="",M70="",N70=""),"",IF(AND(F70="Yes",G70=E70,H70="Pick",K70="Yes",L70="No",M70=IF(E70="Normal","Normal_Bin","Large_Bin"),N70="Yes"),"Yes","No")),"")))</x:f>
      </x:c>
      <x:c r="P70" s="99" t="str">
        <x:v>NONE</x:v>
      </x:c>
      <x:c r="Q70" s="101"/>
      <x:c r="R70" s="102"/>
    </x:row>
    <x:row r="71">
      <x:c r="A71" s="97" t="n">
        <x:v>6</x:v>
      </x:c>
      <x:c r="B71" s="98" t="str">
        <x:v>A</x:v>
      </x:c>
      <x:c r="C71" s="97" t="n">
        <x:v>4</x:v>
      </x:c>
      <x:c r="D71" s="96" t="str">
        <x:f>IF(OR(A71="",B71="",E71=""),"","R"&amp;TEXT(A71,"00")&amp;"-"&amp;B71&amp;"-"&amp;LEFT(E71,1)&amp;IF(COUNTIFS($A$2:A71,A71,$B$2:B71,B71,$E$2:E71,E71)&gt;1,"-"&amp;COUNTIFS($A$2:A71,A71,$B$2:B71,B71,$E$2:E71,E71),""))</x:f>
        <x:v>R06-A-S</x:v>
      </x:c>
      <x:c r="E71" s="99" t="str">
        <x:v>Small</x:v>
      </x:c>
      <x:c r="F71" s="99"/>
      <x:c r="G71" s="99"/>
      <x:c r="H71" s="99"/>
      <x:c r="I71" s="100" t="n">
        <x:v>0</x:v>
      </x:c>
      <x:c r="J71" s="99" t="str">
        <x:v>N/A</x:v>
      </x:c>
      <x:c r="K71" s="99" t="str">
        <x:v>N/A</x:v>
      </x:c>
      <x:c r="L71" s="99" t="str">
        <x:v>N/A</x:v>
      </x:c>
      <x:c r="M71" s="99" t="str">
        <x:v>N/A</x:v>
      </x:c>
      <x:c r="N71" s="99" t="str">
        <x:v>N/A</x:v>
      </x:c>
      <x:c r="O71" s="96" t="str">
        <x:f>IF(E71="","",IF(E71="Small",IF(OR(F71="",G71="",H71=""),"",IF(AND(F71="Yes",G71="Small",H71="Skip"),"Yes","No")),IF(OR(E71="Normal",E71="Large"),IF(OR(F71="",G71="",H71="",K71="",L71="",M71="",N71=""),"",IF(AND(F71="Yes",G71=E71,H71="Pick",K71="Yes",L71="No",M71=IF(E71="Normal","Normal_Bin","Large_Bin"),N71="Yes"),"Yes","No")),"")))</x:f>
      </x:c>
      <x:c r="P71" s="99" t="str">
        <x:v>NONE</x:v>
      </x:c>
      <x:c r="Q71" s="101"/>
      <x:c r="R71" s="102"/>
    </x:row>
    <x:row r="72">
      <x:c r="A72" s="97" t="n">
        <x:v>6</x:v>
      </x:c>
      <x:c r="B72" s="98" t="str">
        <x:v>A</x:v>
      </x:c>
      <x:c r="C72" s="97" t="n">
        <x:v>4</x:v>
      </x:c>
      <x:c r="D72" s="96" t="str">
        <x:f>IF(OR(A72="",B72="",E72=""),"","R"&amp;TEXT(A72,"00")&amp;"-"&amp;B72&amp;"-"&amp;LEFT(E72,1)&amp;IF(COUNTIFS($A$2:A72,A72,$B$2:B72,B72,$E$2:E72,E72)&gt;1,"-"&amp;COUNTIFS($A$2:A72,A72,$B$2:B72,B72,$E$2:E72,E72),""))</x:f>
        <x:v>R06-A-N</x:v>
      </x:c>
      <x:c r="E72" s="99" t="str">
        <x:v>Normal</x:v>
      </x:c>
      <x:c r="F72" s="99"/>
      <x:c r="G72" s="99"/>
      <x:c r="H72" s="99"/>
      <x:c r="I72" s="100"/>
      <x:c r="J72" s="99"/>
      <x:c r="K72" s="99"/>
      <x:c r="L72" s="99"/>
      <x:c r="M72" s="99"/>
      <x:c r="N72" s="99"/>
      <x:c r="O72" s="96" t="str">
        <x:f>IF(E72="","",IF(E72="Small",IF(OR(F72="",G72="",H72=""),"",IF(AND(F72="Yes",G72="Small",H72="Skip"),"Yes","No")),IF(OR(E72="Normal",E72="Large"),IF(OR(F72="",G72="",H72="",K72="",L72="",M72="",N72=""),"",IF(AND(F72="Yes",G72=E72,H72="Pick",K72="Yes",L72="No",M72=IF(E72="Normal","Normal_Bin","Large_Bin"),N72="Yes"),"Yes","No")),"")))</x:f>
      </x:c>
      <x:c r="P72" s="99" t="str">
        <x:v>NONE</x:v>
      </x:c>
      <x:c r="Q72" s="101"/>
      <x:c r="R72" s="102"/>
    </x:row>
    <x:row r="73">
      <x:c r="A73" s="97" t="n">
        <x:v>6</x:v>
      </x:c>
      <x:c r="B73" s="98" t="str">
        <x:v>A</x:v>
      </x:c>
      <x:c r="C73" s="97" t="n">
        <x:v>4</x:v>
      </x:c>
      <x:c r="D73" s="96" t="str">
        <x:f>IF(OR(A73="",B73="",E73=""),"","R"&amp;TEXT(A73,"00")&amp;"-"&amp;B73&amp;"-"&amp;LEFT(E73,1)&amp;IF(COUNTIFS($A$2:A73,A73,$B$2:B73,B73,$E$2:E73,E73)&gt;1,"-"&amp;COUNTIFS($A$2:A73,A73,$B$2:B73,B73,$E$2:E73,E73),""))</x:f>
        <x:v>R06-A-L</x:v>
      </x:c>
      <x:c r="E73" s="99" t="str">
        <x:v>Large</x:v>
      </x:c>
      <x:c r="F73" s="99"/>
      <x:c r="G73" s="99"/>
      <x:c r="H73" s="99"/>
      <x:c r="I73" s="100"/>
      <x:c r="J73" s="99"/>
      <x:c r="K73" s="99"/>
      <x:c r="L73" s="99"/>
      <x:c r="M73" s="99"/>
      <x:c r="N73" s="99"/>
      <x:c r="O73" s="96" t="str">
        <x:f>IF(E73="","",IF(E73="Small",IF(OR(F73="",G73="",H73=""),"",IF(AND(F73="Yes",G73="Small",H73="Skip"),"Yes","No")),IF(OR(E73="Normal",E73="Large"),IF(OR(F73="",G73="",H73="",K73="",L73="",M73="",N73=""),"",IF(AND(F73="Yes",G73=E73,H73="Pick",K73="Yes",L73="No",M73=IF(E73="Normal","Normal_Bin","Large_Bin"),N73="Yes"),"Yes","No")),"")))</x:f>
      </x:c>
      <x:c r="P73" s="99" t="str">
        <x:v>NONE</x:v>
      </x:c>
      <x:c r="Q73" s="101"/>
      <x:c r="R73" s="102"/>
    </x:row>
    <x:row r="74">
      <x:c r="A74" s="97" t="n">
        <x:v>7</x:v>
      </x:c>
      <x:c r="B74" s="98" t="str">
        <x:v>C</x:v>
      </x:c>
      <x:c r="C74" s="97" t="n">
        <x:v>1</x:v>
      </x:c>
      <x:c r="D74" s="96" t="str">
        <x:f>IF(OR(A74="",B74="",E74=""),"","R"&amp;TEXT(A74,"00")&amp;"-"&amp;B74&amp;"-"&amp;LEFT(E74,1)&amp;IF(COUNTIFS($A$2:A74,A74,$B$2:B74,B74,$E$2:E74,E74)&gt;1,"-"&amp;COUNTIFS($A$2:A74,A74,$B$2:B74,B74,$E$2:E74,E74),""))</x:f>
        <x:v>R07-C-S</x:v>
      </x:c>
      <x:c r="E74" s="99" t="str">
        <x:v>Small</x:v>
      </x:c>
      <x:c r="F74" s="99"/>
      <x:c r="G74" s="99"/>
      <x:c r="H74" s="99"/>
      <x:c r="I74" s="100" t="n">
        <x:v>0</x:v>
      </x:c>
      <x:c r="J74" s="99" t="str">
        <x:v>N/A</x:v>
      </x:c>
      <x:c r="K74" s="99" t="str">
        <x:v>N/A</x:v>
      </x:c>
      <x:c r="L74" s="99" t="str">
        <x:v>N/A</x:v>
      </x:c>
      <x:c r="M74" s="99" t="str">
        <x:v>N/A</x:v>
      </x:c>
      <x:c r="N74" s="99" t="str">
        <x:v>N/A</x:v>
      </x:c>
      <x:c r="O74" s="96" t="str">
        <x:f>IF(E74="","",IF(E74="Small",IF(OR(F74="",G74="",H74=""),"",IF(AND(F74="Yes",G74="Small",H74="Skip"),"Yes","No")),IF(OR(E74="Normal",E74="Large"),IF(OR(F74="",G74="",H74="",K74="",L74="",M74="",N74=""),"",IF(AND(F74="Yes",G74=E74,H74="Pick",K74="Yes",L74="No",M74=IF(E74="Normal","Normal_Bin","Large_Bin"),N74="Yes"),"Yes","No")),"")))</x:f>
      </x:c>
      <x:c r="P74" s="99" t="str">
        <x:v>NONE</x:v>
      </x:c>
      <x:c r="Q74" s="101"/>
      <x:c r="R74" s="102"/>
    </x:row>
    <x:row r="75">
      <x:c r="A75" s="97" t="n">
        <x:v>7</x:v>
      </x:c>
      <x:c r="B75" s="98" t="str">
        <x:v>C</x:v>
      </x:c>
      <x:c r="C75" s="97" t="n">
        <x:v>1</x:v>
      </x:c>
      <x:c r="D75" s="96" t="str">
        <x:f>IF(OR(A75="",B75="",E75=""),"","R"&amp;TEXT(A75,"00")&amp;"-"&amp;B75&amp;"-"&amp;LEFT(E75,1)&amp;IF(COUNTIFS($A$2:A75,A75,$B$2:B75,B75,$E$2:E75,E75)&gt;1,"-"&amp;COUNTIFS($A$2:A75,A75,$B$2:B75,B75,$E$2:E75,E75),""))</x:f>
        <x:v>R07-C-N</x:v>
      </x:c>
      <x:c r="E75" s="99" t="str">
        <x:v>Normal</x:v>
      </x:c>
      <x:c r="F75" s="99"/>
      <x:c r="G75" s="99"/>
      <x:c r="H75" s="99"/>
      <x:c r="I75" s="100"/>
      <x:c r="J75" s="99"/>
      <x:c r="K75" s="99"/>
      <x:c r="L75" s="99"/>
      <x:c r="M75" s="99"/>
      <x:c r="N75" s="99"/>
      <x:c r="O75" s="96" t="str">
        <x:f>IF(E75="","",IF(E75="Small",IF(OR(F75="",G75="",H75=""),"",IF(AND(F75="Yes",G75="Small",H75="Skip"),"Yes","No")),IF(OR(E75="Normal",E75="Large"),IF(OR(F75="",G75="",H75="",K75="",L75="",M75="",N75=""),"",IF(AND(F75="Yes",G75=E75,H75="Pick",K75="Yes",L75="No",M75=IF(E75="Normal","Normal_Bin","Large_Bin"),N75="Yes"),"Yes","No")),"")))</x:f>
      </x:c>
      <x:c r="P75" s="99" t="str">
        <x:v>NONE</x:v>
      </x:c>
      <x:c r="Q75" s="101"/>
      <x:c r="R75" s="102"/>
    </x:row>
    <x:row r="76">
      <x:c r="A76" s="97" t="n">
        <x:v>7</x:v>
      </x:c>
      <x:c r="B76" s="98" t="str">
        <x:v>C</x:v>
      </x:c>
      <x:c r="C76" s="97" t="n">
        <x:v>1</x:v>
      </x:c>
      <x:c r="D76" s="96" t="str">
        <x:f>IF(OR(A76="",B76="",E76=""),"","R"&amp;TEXT(A76,"00")&amp;"-"&amp;B76&amp;"-"&amp;LEFT(E76,1)&amp;IF(COUNTIFS($A$2:A76,A76,$B$2:B76,B76,$E$2:E76,E76)&gt;1,"-"&amp;COUNTIFS($A$2:A76,A76,$B$2:B76,B76,$E$2:E76,E76),""))</x:f>
        <x:v>R07-C-L</x:v>
      </x:c>
      <x:c r="E76" s="99" t="str">
        <x:v>Large</x:v>
      </x:c>
      <x:c r="F76" s="99"/>
      <x:c r="G76" s="99"/>
      <x:c r="H76" s="99"/>
      <x:c r="I76" s="100"/>
      <x:c r="J76" s="99"/>
      <x:c r="K76" s="99"/>
      <x:c r="L76" s="99"/>
      <x:c r="M76" s="99"/>
      <x:c r="N76" s="99"/>
      <x:c r="O76" s="96" t="str">
        <x:f>IF(E76="","",IF(E76="Small",IF(OR(F76="",G76="",H76=""),"",IF(AND(F76="Yes",G76="Small",H76="Skip"),"Yes","No")),IF(OR(E76="Normal",E76="Large"),IF(OR(F76="",G76="",H76="",K76="",L76="",M76="",N76=""),"",IF(AND(F76="Yes",G76=E76,H76="Pick",K76="Yes",L76="No",M76=IF(E76="Normal","Normal_Bin","Large_Bin"),N76="Yes"),"Yes","No")),"")))</x:f>
      </x:c>
      <x:c r="P76" s="99" t="str">
        <x:v>NONE</x:v>
      </x:c>
      <x:c r="Q76" s="101"/>
      <x:c r="R76" s="102"/>
    </x:row>
    <x:row r="77">
      <x:c r="A77" s="97" t="n">
        <x:v>7</x:v>
      </x:c>
      <x:c r="B77" s="98" t="str">
        <x:v>D</x:v>
      </x:c>
      <x:c r="C77" s="97" t="n">
        <x:v>2</x:v>
      </x:c>
      <x:c r="D77" s="96" t="str">
        <x:f>IF(OR(A77="",B77="",E77=""),"","R"&amp;TEXT(A77,"00")&amp;"-"&amp;B77&amp;"-"&amp;LEFT(E77,1)&amp;IF(COUNTIFS($A$2:A77,A77,$B$2:B77,B77,$E$2:E77,E77)&gt;1,"-"&amp;COUNTIFS($A$2:A77,A77,$B$2:B77,B77,$E$2:E77,E77),""))</x:f>
        <x:v>R07-D-S</x:v>
      </x:c>
      <x:c r="E77" s="99" t="str">
        <x:v>Small</x:v>
      </x:c>
      <x:c r="F77" s="99"/>
      <x:c r="G77" s="99"/>
      <x:c r="H77" s="99"/>
      <x:c r="I77" s="100" t="n">
        <x:v>0</x:v>
      </x:c>
      <x:c r="J77" s="99" t="str">
        <x:v>N/A</x:v>
      </x:c>
      <x:c r="K77" s="99" t="str">
        <x:v>N/A</x:v>
      </x:c>
      <x:c r="L77" s="99" t="str">
        <x:v>N/A</x:v>
      </x:c>
      <x:c r="M77" s="99" t="str">
        <x:v>N/A</x:v>
      </x:c>
      <x:c r="N77" s="99" t="str">
        <x:v>N/A</x:v>
      </x:c>
      <x:c r="O77" s="96" t="str">
        <x:f>IF(E77="","",IF(E77="Small",IF(OR(F77="",G77="",H77=""),"",IF(AND(F77="Yes",G77="Small",H77="Skip"),"Yes","No")),IF(OR(E77="Normal",E77="Large"),IF(OR(F77="",G77="",H77="",K77="",L77="",M77="",N77=""),"",IF(AND(F77="Yes",G77=E77,H77="Pick",K77="Yes",L77="No",M77=IF(E77="Normal","Normal_Bin","Large_Bin"),N77="Yes"),"Yes","No")),"")))</x:f>
      </x:c>
      <x:c r="P77" s="99" t="str">
        <x:v>NONE</x:v>
      </x:c>
      <x:c r="Q77" s="101"/>
      <x:c r="R77" s="102"/>
    </x:row>
    <x:row r="78">
      <x:c r="A78" s="97" t="n">
        <x:v>7</x:v>
      </x:c>
      <x:c r="B78" s="98" t="str">
        <x:v>D</x:v>
      </x:c>
      <x:c r="C78" s="97" t="n">
        <x:v>2</x:v>
      </x:c>
      <x:c r="D78" s="96" t="str">
        <x:f>IF(OR(A78="",B78="",E78=""),"","R"&amp;TEXT(A78,"00")&amp;"-"&amp;B78&amp;"-"&amp;LEFT(E78,1)&amp;IF(COUNTIFS($A$2:A78,A78,$B$2:B78,B78,$E$2:E78,E78)&gt;1,"-"&amp;COUNTIFS($A$2:A78,A78,$B$2:B78,B78,$E$2:E78,E78),""))</x:f>
        <x:v>R07-D-N</x:v>
      </x:c>
      <x:c r="E78" s="99" t="str">
        <x:v>Normal</x:v>
      </x:c>
      <x:c r="F78" s="99"/>
      <x:c r="G78" s="99"/>
      <x:c r="H78" s="99"/>
      <x:c r="I78" s="100"/>
      <x:c r="J78" s="99"/>
      <x:c r="K78" s="99"/>
      <x:c r="L78" s="99"/>
      <x:c r="M78" s="99"/>
      <x:c r="N78" s="99"/>
      <x:c r="O78" s="96" t="str">
        <x:f>IF(E78="","",IF(E78="Small",IF(OR(F78="",G78="",H78=""),"",IF(AND(F78="Yes",G78="Small",H78="Skip"),"Yes","No")),IF(OR(E78="Normal",E78="Large"),IF(OR(F78="",G78="",H78="",K78="",L78="",M78="",N78=""),"",IF(AND(F78="Yes",G78=E78,H78="Pick",K78="Yes",L78="No",M78=IF(E78="Normal","Normal_Bin","Large_Bin"),N78="Yes"),"Yes","No")),"")))</x:f>
      </x:c>
      <x:c r="P78" s="99" t="str">
        <x:v>NONE</x:v>
      </x:c>
      <x:c r="Q78" s="101"/>
      <x:c r="R78" s="102"/>
    </x:row>
    <x:row r="79">
      <x:c r="A79" s="97" t="n">
        <x:v>7</x:v>
      </x:c>
      <x:c r="B79" s="98" t="str">
        <x:v>D</x:v>
      </x:c>
      <x:c r="C79" s="97" t="n">
        <x:v>2</x:v>
      </x:c>
      <x:c r="D79" s="96" t="str">
        <x:f>IF(OR(A79="",B79="",E79=""),"","R"&amp;TEXT(A79,"00")&amp;"-"&amp;B79&amp;"-"&amp;LEFT(E79,1)&amp;IF(COUNTIFS($A$2:A79,A79,$B$2:B79,B79,$E$2:E79,E79)&gt;1,"-"&amp;COUNTIFS($A$2:A79,A79,$B$2:B79,B79,$E$2:E79,E79),""))</x:f>
        <x:v>R07-D-L</x:v>
      </x:c>
      <x:c r="E79" s="99" t="str">
        <x:v>Large</x:v>
      </x:c>
      <x:c r="F79" s="99"/>
      <x:c r="G79" s="99"/>
      <x:c r="H79" s="99"/>
      <x:c r="I79" s="100"/>
      <x:c r="J79" s="99"/>
      <x:c r="K79" s="99"/>
      <x:c r="L79" s="99"/>
      <x:c r="M79" s="99"/>
      <x:c r="N79" s="99"/>
      <x:c r="O79" s="96" t="str">
        <x:f>IF(E79="","",IF(E79="Small",IF(OR(F79="",G79="",H79=""),"",IF(AND(F79="Yes",G79="Small",H79="Skip"),"Yes","No")),IF(OR(E79="Normal",E79="Large"),IF(OR(F79="",G79="",H79="",K79="",L79="",M79="",N79=""),"",IF(AND(F79="Yes",G79=E79,H79="Pick",K79="Yes",L79="No",M79=IF(E79="Normal","Normal_Bin","Large_Bin"),N79="Yes"),"Yes","No")),"")))</x:f>
      </x:c>
      <x:c r="P79" s="99" t="str">
        <x:v>NONE</x:v>
      </x:c>
      <x:c r="Q79" s="101"/>
      <x:c r="R79" s="102"/>
    </x:row>
    <x:row r="80">
      <x:c r="A80" s="97" t="n">
        <x:v>7</x:v>
      </x:c>
      <x:c r="B80" s="98" t="str">
        <x:v>A</x:v>
      </x:c>
      <x:c r="C80" s="97" t="n">
        <x:v>3</x:v>
      </x:c>
      <x:c r="D80" s="96" t="str">
        <x:f>IF(OR(A80="",B80="",E80=""),"","R"&amp;TEXT(A80,"00")&amp;"-"&amp;B80&amp;"-"&amp;LEFT(E80,1)&amp;IF(COUNTIFS($A$2:A80,A80,$B$2:B80,B80,$E$2:E80,E80)&gt;1,"-"&amp;COUNTIFS($A$2:A80,A80,$B$2:B80,B80,$E$2:E80,E80),""))</x:f>
        <x:v>R07-A-S</x:v>
      </x:c>
      <x:c r="E80" s="99" t="str">
        <x:v>Small</x:v>
      </x:c>
      <x:c r="F80" s="99"/>
      <x:c r="G80" s="99"/>
      <x:c r="H80" s="99"/>
      <x:c r="I80" s="100" t="n">
        <x:v>0</x:v>
      </x:c>
      <x:c r="J80" s="99" t="str">
        <x:v>N/A</x:v>
      </x:c>
      <x:c r="K80" s="99" t="str">
        <x:v>N/A</x:v>
      </x:c>
      <x:c r="L80" s="99" t="str">
        <x:v>N/A</x:v>
      </x:c>
      <x:c r="M80" s="99" t="str">
        <x:v>N/A</x:v>
      </x:c>
      <x:c r="N80" s="99" t="str">
        <x:v>N/A</x:v>
      </x:c>
      <x:c r="O80" s="96" t="str">
        <x:f>IF(E80="","",IF(E80="Small",IF(OR(F80="",G80="",H80=""),"",IF(AND(F80="Yes",G80="Small",H80="Skip"),"Yes","No")),IF(OR(E80="Normal",E80="Large"),IF(OR(F80="",G80="",H80="",K80="",L80="",M80="",N80=""),"",IF(AND(F80="Yes",G80=E80,H80="Pick",K80="Yes",L80="No",M80=IF(E80="Normal","Normal_Bin","Large_Bin"),N80="Yes"),"Yes","No")),"")))</x:f>
      </x:c>
      <x:c r="P80" s="99" t="str">
        <x:v>NONE</x:v>
      </x:c>
      <x:c r="Q80" s="101"/>
      <x:c r="R80" s="102"/>
    </x:row>
    <x:row r="81">
      <x:c r="A81" s="97" t="n">
        <x:v>7</x:v>
      </x:c>
      <x:c r="B81" s="98" t="str">
        <x:v>A</x:v>
      </x:c>
      <x:c r="C81" s="97" t="n">
        <x:v>3</x:v>
      </x:c>
      <x:c r="D81" s="96" t="str">
        <x:f>IF(OR(A81="",B81="",E81=""),"","R"&amp;TEXT(A81,"00")&amp;"-"&amp;B81&amp;"-"&amp;LEFT(E81,1)&amp;IF(COUNTIFS($A$2:A81,A81,$B$2:B81,B81,$E$2:E81,E81)&gt;1,"-"&amp;COUNTIFS($A$2:A81,A81,$B$2:B81,B81,$E$2:E81,E81),""))</x:f>
        <x:v>R07-A-N</x:v>
      </x:c>
      <x:c r="E81" s="99" t="str">
        <x:v>Normal</x:v>
      </x:c>
      <x:c r="F81" s="99"/>
      <x:c r="G81" s="99"/>
      <x:c r="H81" s="99"/>
      <x:c r="I81" s="100"/>
      <x:c r="J81" s="99"/>
      <x:c r="K81" s="99"/>
      <x:c r="L81" s="99"/>
      <x:c r="M81" s="99"/>
      <x:c r="N81" s="99"/>
      <x:c r="O81" s="96" t="str">
        <x:f>IF(E81="","",IF(E81="Small",IF(OR(F81="",G81="",H81=""),"",IF(AND(F81="Yes",G81="Small",H81="Skip"),"Yes","No")),IF(OR(E81="Normal",E81="Large"),IF(OR(F81="",G81="",H81="",K81="",L81="",M81="",N81=""),"",IF(AND(F81="Yes",G81=E81,H81="Pick",K81="Yes",L81="No",M81=IF(E81="Normal","Normal_Bin","Large_Bin"),N81="Yes"),"Yes","No")),"")))</x:f>
      </x:c>
      <x:c r="P81" s="99" t="str">
        <x:v>NONE</x:v>
      </x:c>
      <x:c r="Q81" s="101"/>
      <x:c r="R81" s="102"/>
    </x:row>
    <x:row r="82">
      <x:c r="A82" s="97" t="n">
        <x:v>7</x:v>
      </x:c>
      <x:c r="B82" s="98" t="str">
        <x:v>A</x:v>
      </x:c>
      <x:c r="C82" s="97" t="n">
        <x:v>3</x:v>
      </x:c>
      <x:c r="D82" s="96" t="str">
        <x:f>IF(OR(A82="",B82="",E82=""),"","R"&amp;TEXT(A82,"00")&amp;"-"&amp;B82&amp;"-"&amp;LEFT(E82,1)&amp;IF(COUNTIFS($A$2:A82,A82,$B$2:B82,B82,$E$2:E82,E82)&gt;1,"-"&amp;COUNTIFS($A$2:A82,A82,$B$2:B82,B82,$E$2:E82,E82),""))</x:f>
        <x:v>R07-A-L</x:v>
      </x:c>
      <x:c r="E82" s="99" t="str">
        <x:v>Large</x:v>
      </x:c>
      <x:c r="F82" s="99"/>
      <x:c r="G82" s="99"/>
      <x:c r="H82" s="99"/>
      <x:c r="I82" s="100"/>
      <x:c r="J82" s="99"/>
      <x:c r="K82" s="99"/>
      <x:c r="L82" s="99"/>
      <x:c r="M82" s="99"/>
      <x:c r="N82" s="99"/>
      <x:c r="O82" s="96" t="str">
        <x:f>IF(E82="","",IF(E82="Small",IF(OR(F82="",G82="",H82=""),"",IF(AND(F82="Yes",G82="Small",H82="Skip"),"Yes","No")),IF(OR(E82="Normal",E82="Large"),IF(OR(F82="",G82="",H82="",K82="",L82="",M82="",N82=""),"",IF(AND(F82="Yes",G82=E82,H82="Pick",K82="Yes",L82="No",M82=IF(E82="Normal","Normal_Bin","Large_Bin"),N82="Yes"),"Yes","No")),"")))</x:f>
      </x:c>
      <x:c r="P82" s="99" t="str">
        <x:v>NONE</x:v>
      </x:c>
      <x:c r="Q82" s="101"/>
      <x:c r="R82" s="102"/>
    </x:row>
    <x:row r="83">
      <x:c r="A83" s="97" t="n">
        <x:v>7</x:v>
      </x:c>
      <x:c r="B83" s="98" t="str">
        <x:v>B</x:v>
      </x:c>
      <x:c r="C83" s="97" t="n">
        <x:v>4</x:v>
      </x:c>
      <x:c r="D83" s="96" t="str">
        <x:f>IF(OR(A83="",B83="",E83=""),"","R"&amp;TEXT(A83,"00")&amp;"-"&amp;B83&amp;"-"&amp;LEFT(E83,1)&amp;IF(COUNTIFS($A$2:A83,A83,$B$2:B83,B83,$E$2:E83,E83)&gt;1,"-"&amp;COUNTIFS($A$2:A83,A83,$B$2:B83,B83,$E$2:E83,E83),""))</x:f>
        <x:v>R07-B-S</x:v>
      </x:c>
      <x:c r="E83" s="99" t="str">
        <x:v>Small</x:v>
      </x:c>
      <x:c r="F83" s="99"/>
      <x:c r="G83" s="99"/>
      <x:c r="H83" s="99"/>
      <x:c r="I83" s="100" t="n">
        <x:v>0</x:v>
      </x:c>
      <x:c r="J83" s="99" t="str">
        <x:v>N/A</x:v>
      </x:c>
      <x:c r="K83" s="99" t="str">
        <x:v>N/A</x:v>
      </x:c>
      <x:c r="L83" s="99" t="str">
        <x:v>N/A</x:v>
      </x:c>
      <x:c r="M83" s="99" t="str">
        <x:v>N/A</x:v>
      </x:c>
      <x:c r="N83" s="99" t="str">
        <x:v>N/A</x:v>
      </x:c>
      <x:c r="O83" s="96" t="str">
        <x:f>IF(E83="","",IF(E83="Small",IF(OR(F83="",G83="",H83=""),"",IF(AND(F83="Yes",G83="Small",H83="Skip"),"Yes","No")),IF(OR(E83="Normal",E83="Large"),IF(OR(F83="",G83="",H83="",K83="",L83="",M83="",N83=""),"",IF(AND(F83="Yes",G83=E83,H83="Pick",K83="Yes",L83="No",M83=IF(E83="Normal","Normal_Bin","Large_Bin"),N83="Yes"),"Yes","No")),"")))</x:f>
      </x:c>
      <x:c r="P83" s="99" t="str">
        <x:v>NONE</x:v>
      </x:c>
      <x:c r="Q83" s="101"/>
      <x:c r="R83" s="102"/>
    </x:row>
    <x:row r="84">
      <x:c r="A84" s="97" t="n">
        <x:v>7</x:v>
      </x:c>
      <x:c r="B84" s="98" t="str">
        <x:v>B</x:v>
      </x:c>
      <x:c r="C84" s="97" t="n">
        <x:v>4</x:v>
      </x:c>
      <x:c r="D84" s="96" t="str">
        <x:f>IF(OR(A84="",B84="",E84=""),"","R"&amp;TEXT(A84,"00")&amp;"-"&amp;B84&amp;"-"&amp;LEFT(E84,1)&amp;IF(COUNTIFS($A$2:A84,A84,$B$2:B84,B84,$E$2:E84,E84)&gt;1,"-"&amp;COUNTIFS($A$2:A84,A84,$B$2:B84,B84,$E$2:E84,E84),""))</x:f>
        <x:v>R07-B-N</x:v>
      </x:c>
      <x:c r="E84" s="99" t="str">
        <x:v>Normal</x:v>
      </x:c>
      <x:c r="F84" s="99"/>
      <x:c r="G84" s="99"/>
      <x:c r="H84" s="99"/>
      <x:c r="I84" s="100"/>
      <x:c r="J84" s="99"/>
      <x:c r="K84" s="99"/>
      <x:c r="L84" s="99"/>
      <x:c r="M84" s="99"/>
      <x:c r="N84" s="99"/>
      <x:c r="O84" s="96" t="str">
        <x:f>IF(E84="","",IF(E84="Small",IF(OR(F84="",G84="",H84=""),"",IF(AND(F84="Yes",G84="Small",H84="Skip"),"Yes","No")),IF(OR(E84="Normal",E84="Large"),IF(OR(F84="",G84="",H84="",K84="",L84="",M84="",N84=""),"",IF(AND(F84="Yes",G84=E84,H84="Pick",K84="Yes",L84="No",M84=IF(E84="Normal","Normal_Bin","Large_Bin"),N84="Yes"),"Yes","No")),"")))</x:f>
      </x:c>
      <x:c r="P84" s="99" t="str">
        <x:v>NONE</x:v>
      </x:c>
      <x:c r="Q84" s="101"/>
      <x:c r="R84" s="102"/>
    </x:row>
    <x:row r="85">
      <x:c r="A85" s="97" t="n">
        <x:v>7</x:v>
      </x:c>
      <x:c r="B85" s="98" t="str">
        <x:v>B</x:v>
      </x:c>
      <x:c r="C85" s="97" t="n">
        <x:v>4</x:v>
      </x:c>
      <x:c r="D85" s="96" t="str">
        <x:f>IF(OR(A85="",B85="",E85=""),"","R"&amp;TEXT(A85,"00")&amp;"-"&amp;B85&amp;"-"&amp;LEFT(E85,1)&amp;IF(COUNTIFS($A$2:A85,A85,$B$2:B85,B85,$E$2:E85,E85)&gt;1,"-"&amp;COUNTIFS($A$2:A85,A85,$B$2:B85,B85,$E$2:E85,E85),""))</x:f>
        <x:v>R07-B-L</x:v>
      </x:c>
      <x:c r="E85" s="99" t="str">
        <x:v>Large</x:v>
      </x:c>
      <x:c r="F85" s="99"/>
      <x:c r="G85" s="99"/>
      <x:c r="H85" s="99"/>
      <x:c r="I85" s="100"/>
      <x:c r="J85" s="99"/>
      <x:c r="K85" s="99"/>
      <x:c r="L85" s="99"/>
      <x:c r="M85" s="99"/>
      <x:c r="N85" s="99"/>
      <x:c r="O85" s="96" t="str">
        <x:f>IF(E85="","",IF(E85="Small",IF(OR(F85="",G85="",H85=""),"",IF(AND(F85="Yes",G85="Small",H85="Skip"),"Yes","No")),IF(OR(E85="Normal",E85="Large"),IF(OR(F85="",G85="",H85="",K85="",L85="",M85="",N85=""),"",IF(AND(F85="Yes",G85=E85,H85="Pick",K85="Yes",L85="No",M85=IF(E85="Normal","Normal_Bin","Large_Bin"),N85="Yes"),"Yes","No")),"")))</x:f>
      </x:c>
      <x:c r="P85" s="99" t="str">
        <x:v>NONE</x:v>
      </x:c>
      <x:c r="Q85" s="101"/>
      <x:c r="R85" s="102"/>
    </x:row>
    <x:row r="86">
      <x:c r="A86" s="97" t="n">
        <x:v>8</x:v>
      </x:c>
      <x:c r="B86" s="98" t="str">
        <x:v>D</x:v>
      </x:c>
      <x:c r="C86" s="97" t="n">
        <x:v>1</x:v>
      </x:c>
      <x:c r="D86" s="96" t="str">
        <x:f>IF(OR(A86="",B86="",E86=""),"","R"&amp;TEXT(A86,"00")&amp;"-"&amp;B86&amp;"-"&amp;LEFT(E86,1)&amp;IF(COUNTIFS($A$2:A86,A86,$B$2:B86,B86,$E$2:E86,E86)&gt;1,"-"&amp;COUNTIFS($A$2:A86,A86,$B$2:B86,B86,$E$2:E86,E86),""))</x:f>
        <x:v>R08-D-S</x:v>
      </x:c>
      <x:c r="E86" s="99" t="str">
        <x:v>Small</x:v>
      </x:c>
      <x:c r="F86" s="99"/>
      <x:c r="G86" s="99"/>
      <x:c r="H86" s="99"/>
      <x:c r="I86" s="100" t="n">
        <x:v>0</x:v>
      </x:c>
      <x:c r="J86" s="99" t="str">
        <x:v>N/A</x:v>
      </x:c>
      <x:c r="K86" s="99" t="str">
        <x:v>N/A</x:v>
      </x:c>
      <x:c r="L86" s="99" t="str">
        <x:v>N/A</x:v>
      </x:c>
      <x:c r="M86" s="99" t="str">
        <x:v>N/A</x:v>
      </x:c>
      <x:c r="N86" s="99" t="str">
        <x:v>N/A</x:v>
      </x:c>
      <x:c r="O86" s="96" t="str">
        <x:f>IF(E86="","",IF(E86="Small",IF(OR(F86="",G86="",H86=""),"",IF(AND(F86="Yes",G86="Small",H86="Skip"),"Yes","No")),IF(OR(E86="Normal",E86="Large"),IF(OR(F86="",G86="",H86="",K86="",L86="",M86="",N86=""),"",IF(AND(F86="Yes",G86=E86,H86="Pick",K86="Yes",L86="No",M86=IF(E86="Normal","Normal_Bin","Large_Bin"),N86="Yes"),"Yes","No")),"")))</x:f>
      </x:c>
      <x:c r="P86" s="99" t="str">
        <x:v>NONE</x:v>
      </x:c>
      <x:c r="Q86" s="101"/>
      <x:c r="R86" s="102"/>
    </x:row>
    <x:row r="87">
      <x:c r="A87" s="97" t="n">
        <x:v>8</x:v>
      </x:c>
      <x:c r="B87" s="98" t="str">
        <x:v>D</x:v>
      </x:c>
      <x:c r="C87" s="97" t="n">
        <x:v>1</x:v>
      </x:c>
      <x:c r="D87" s="96" t="str">
        <x:f>IF(OR(A87="",B87="",E87=""),"","R"&amp;TEXT(A87,"00")&amp;"-"&amp;B87&amp;"-"&amp;LEFT(E87,1)&amp;IF(COUNTIFS($A$2:A87,A87,$B$2:B87,B87,$E$2:E87,E87)&gt;1,"-"&amp;COUNTIFS($A$2:A87,A87,$B$2:B87,B87,$E$2:E87,E87),""))</x:f>
        <x:v>R08-D-N</x:v>
      </x:c>
      <x:c r="E87" s="99" t="str">
        <x:v>Normal</x:v>
      </x:c>
      <x:c r="F87" s="99"/>
      <x:c r="G87" s="99"/>
      <x:c r="H87" s="99"/>
      <x:c r="I87" s="100"/>
      <x:c r="J87" s="99"/>
      <x:c r="K87" s="99"/>
      <x:c r="L87" s="99"/>
      <x:c r="M87" s="99"/>
      <x:c r="N87" s="99"/>
      <x:c r="O87" s="96" t="str">
        <x:f>IF(E87="","",IF(E87="Small",IF(OR(F87="",G87="",H87=""),"",IF(AND(F87="Yes",G87="Small",H87="Skip"),"Yes","No")),IF(OR(E87="Normal",E87="Large"),IF(OR(F87="",G87="",H87="",K87="",L87="",M87="",N87=""),"",IF(AND(F87="Yes",G87=E87,H87="Pick",K87="Yes",L87="No",M87=IF(E87="Normal","Normal_Bin","Large_Bin"),N87="Yes"),"Yes","No")),"")))</x:f>
      </x:c>
      <x:c r="P87" s="99" t="str">
        <x:v>NONE</x:v>
      </x:c>
      <x:c r="Q87" s="101"/>
      <x:c r="R87" s="102"/>
    </x:row>
    <x:row r="88">
      <x:c r="A88" s="97" t="n">
        <x:v>8</x:v>
      </x:c>
      <x:c r="B88" s="98" t="str">
        <x:v>D</x:v>
      </x:c>
      <x:c r="C88" s="97" t="n">
        <x:v>1</x:v>
      </x:c>
      <x:c r="D88" s="96" t="str">
        <x:f>IF(OR(A88="",B88="",E88=""),"","R"&amp;TEXT(A88,"00")&amp;"-"&amp;B88&amp;"-"&amp;LEFT(E88,1)&amp;IF(COUNTIFS($A$2:A88,A88,$B$2:B88,B88,$E$2:E88,E88)&gt;1,"-"&amp;COUNTIFS($A$2:A88,A88,$B$2:B88,B88,$E$2:E88,E88),""))</x:f>
        <x:v>R08-D-L</x:v>
      </x:c>
      <x:c r="E88" s="99" t="str">
        <x:v>Large</x:v>
      </x:c>
      <x:c r="F88" s="99"/>
      <x:c r="G88" s="99"/>
      <x:c r="H88" s="99"/>
      <x:c r="I88" s="100"/>
      <x:c r="J88" s="99"/>
      <x:c r="K88" s="99"/>
      <x:c r="L88" s="99"/>
      <x:c r="M88" s="99"/>
      <x:c r="N88" s="99"/>
      <x:c r="O88" s="96" t="str">
        <x:f>IF(E88="","",IF(E88="Small",IF(OR(F88="",G88="",H88=""),"",IF(AND(F88="Yes",G88="Small",H88="Skip"),"Yes","No")),IF(OR(E88="Normal",E88="Large"),IF(OR(F88="",G88="",H88="",K88="",L88="",M88="",N88=""),"",IF(AND(F88="Yes",G88=E88,H88="Pick",K88="Yes",L88="No",M88=IF(E88="Normal","Normal_Bin","Large_Bin"),N88="Yes"),"Yes","No")),"")))</x:f>
      </x:c>
      <x:c r="P88" s="99" t="str">
        <x:v>NONE</x:v>
      </x:c>
      <x:c r="Q88" s="101"/>
      <x:c r="R88" s="102"/>
    </x:row>
    <x:row r="89">
      <x:c r="A89" s="97" t="n">
        <x:v>8</x:v>
      </x:c>
      <x:c r="B89" s="98" t="str">
        <x:v>A</x:v>
      </x:c>
      <x:c r="C89" s="97" t="n">
        <x:v>2</x:v>
      </x:c>
      <x:c r="D89" s="96" t="str">
        <x:f>IF(OR(A89="",B89="",E89=""),"","R"&amp;TEXT(A89,"00")&amp;"-"&amp;B89&amp;"-"&amp;LEFT(E89,1)&amp;IF(COUNTIFS($A$2:A89,A89,$B$2:B89,B89,$E$2:E89,E89)&gt;1,"-"&amp;COUNTIFS($A$2:A89,A89,$B$2:B89,B89,$E$2:E89,E89),""))</x:f>
        <x:v>R08-A-S</x:v>
      </x:c>
      <x:c r="E89" s="99" t="str">
        <x:v>Small</x:v>
      </x:c>
      <x:c r="F89" s="99"/>
      <x:c r="G89" s="99"/>
      <x:c r="H89" s="99"/>
      <x:c r="I89" s="100" t="n">
        <x:v>0</x:v>
      </x:c>
      <x:c r="J89" s="99" t="str">
        <x:v>N/A</x:v>
      </x:c>
      <x:c r="K89" s="99" t="str">
        <x:v>N/A</x:v>
      </x:c>
      <x:c r="L89" s="99" t="str">
        <x:v>N/A</x:v>
      </x:c>
      <x:c r="M89" s="99" t="str">
        <x:v>N/A</x:v>
      </x:c>
      <x:c r="N89" s="99" t="str">
        <x:v>N/A</x:v>
      </x:c>
      <x:c r="O89" s="96" t="str">
        <x:f>IF(E89="","",IF(E89="Small",IF(OR(F89="",G89="",H89=""),"",IF(AND(F89="Yes",G89="Small",H89="Skip"),"Yes","No")),IF(OR(E89="Normal",E89="Large"),IF(OR(F89="",G89="",H89="",K89="",L89="",M89="",N89=""),"",IF(AND(F89="Yes",G89=E89,H89="Pick",K89="Yes",L89="No",M89=IF(E89="Normal","Normal_Bin","Large_Bin"),N89="Yes"),"Yes","No")),"")))</x:f>
      </x:c>
      <x:c r="P89" s="99" t="str">
        <x:v>NONE</x:v>
      </x:c>
      <x:c r="Q89" s="101"/>
      <x:c r="R89" s="102"/>
    </x:row>
    <x:row r="90">
      <x:c r="A90" s="97" t="n">
        <x:v>8</x:v>
      </x:c>
      <x:c r="B90" s="98" t="str">
        <x:v>A</x:v>
      </x:c>
      <x:c r="C90" s="97" t="n">
        <x:v>2</x:v>
      </x:c>
      <x:c r="D90" s="96" t="str">
        <x:f>IF(OR(A90="",B90="",E90=""),"","R"&amp;TEXT(A90,"00")&amp;"-"&amp;B90&amp;"-"&amp;LEFT(E90,1)&amp;IF(COUNTIFS($A$2:A90,A90,$B$2:B90,B90,$E$2:E90,E90)&gt;1,"-"&amp;COUNTIFS($A$2:A90,A90,$B$2:B90,B90,$E$2:E90,E90),""))</x:f>
        <x:v>R08-A-N</x:v>
      </x:c>
      <x:c r="E90" s="99" t="str">
        <x:v>Normal</x:v>
      </x:c>
      <x:c r="F90" s="99"/>
      <x:c r="G90" s="99"/>
      <x:c r="H90" s="99"/>
      <x:c r="I90" s="100"/>
      <x:c r="J90" s="99"/>
      <x:c r="K90" s="99"/>
      <x:c r="L90" s="99"/>
      <x:c r="M90" s="99"/>
      <x:c r="N90" s="99"/>
      <x:c r="O90" s="96" t="str">
        <x:f>IF(E90="","",IF(E90="Small",IF(OR(F90="",G90="",H90=""),"",IF(AND(F90="Yes",G90="Small",H90="Skip"),"Yes","No")),IF(OR(E90="Normal",E90="Large"),IF(OR(F90="",G90="",H90="",K90="",L90="",M90="",N90=""),"",IF(AND(F90="Yes",G90=E90,H90="Pick",K90="Yes",L90="No",M90=IF(E90="Normal","Normal_Bin","Large_Bin"),N90="Yes"),"Yes","No")),"")))</x:f>
      </x:c>
      <x:c r="P90" s="99" t="str">
        <x:v>NONE</x:v>
      </x:c>
      <x:c r="Q90" s="101"/>
      <x:c r="R90" s="102"/>
    </x:row>
    <x:row r="91">
      <x:c r="A91" s="97" t="n">
        <x:v>8</x:v>
      </x:c>
      <x:c r="B91" s="98" t="str">
        <x:v>A</x:v>
      </x:c>
      <x:c r="C91" s="97" t="n">
        <x:v>2</x:v>
      </x:c>
      <x:c r="D91" s="96" t="str">
        <x:f>IF(OR(A91="",B91="",E91=""),"","R"&amp;TEXT(A91,"00")&amp;"-"&amp;B91&amp;"-"&amp;LEFT(E91,1)&amp;IF(COUNTIFS($A$2:A91,A91,$B$2:B91,B91,$E$2:E91,E91)&gt;1,"-"&amp;COUNTIFS($A$2:A91,A91,$B$2:B91,B91,$E$2:E91,E91),""))</x:f>
        <x:v>R08-A-L</x:v>
      </x:c>
      <x:c r="E91" s="99" t="str">
        <x:v>Large</x:v>
      </x:c>
      <x:c r="F91" s="99"/>
      <x:c r="G91" s="99"/>
      <x:c r="H91" s="99"/>
      <x:c r="I91" s="100"/>
      <x:c r="J91" s="99"/>
      <x:c r="K91" s="99"/>
      <x:c r="L91" s="99"/>
      <x:c r="M91" s="99"/>
      <x:c r="N91" s="99"/>
      <x:c r="O91" s="96" t="str">
        <x:f>IF(E91="","",IF(E91="Small",IF(OR(F91="",G91="",H91=""),"",IF(AND(F91="Yes",G91="Small",H91="Skip"),"Yes","No")),IF(OR(E91="Normal",E91="Large"),IF(OR(F91="",G91="",H91="",K91="",L91="",M91="",N91=""),"",IF(AND(F91="Yes",G91=E91,H91="Pick",K91="Yes",L91="No",M91=IF(E91="Normal","Normal_Bin","Large_Bin"),N91="Yes"),"Yes","No")),"")))</x:f>
      </x:c>
      <x:c r="P91" s="99" t="str">
        <x:v>NONE</x:v>
      </x:c>
      <x:c r="Q91" s="101"/>
      <x:c r="R91" s="102"/>
    </x:row>
    <x:row r="92">
      <x:c r="A92" s="97" t="n">
        <x:v>8</x:v>
      </x:c>
      <x:c r="B92" s="98" t="str">
        <x:v>B</x:v>
      </x:c>
      <x:c r="C92" s="97" t="n">
        <x:v>3</x:v>
      </x:c>
      <x:c r="D92" s="96" t="str">
        <x:f>IF(OR(A92="",B92="",E92=""),"","R"&amp;TEXT(A92,"00")&amp;"-"&amp;B92&amp;"-"&amp;LEFT(E92,1)&amp;IF(COUNTIFS($A$2:A92,A92,$B$2:B92,B92,$E$2:E92,E92)&gt;1,"-"&amp;COUNTIFS($A$2:A92,A92,$B$2:B92,B92,$E$2:E92,E92),""))</x:f>
        <x:v>R08-B-S</x:v>
      </x:c>
      <x:c r="E92" s="99" t="str">
        <x:v>Small</x:v>
      </x:c>
      <x:c r="F92" s="99"/>
      <x:c r="G92" s="99"/>
      <x:c r="H92" s="99"/>
      <x:c r="I92" s="100" t="n">
        <x:v>0</x:v>
      </x:c>
      <x:c r="J92" s="99" t="str">
        <x:v>N/A</x:v>
      </x:c>
      <x:c r="K92" s="99" t="str">
        <x:v>N/A</x:v>
      </x:c>
      <x:c r="L92" s="99" t="str">
        <x:v>N/A</x:v>
      </x:c>
      <x:c r="M92" s="99" t="str">
        <x:v>N/A</x:v>
      </x:c>
      <x:c r="N92" s="99" t="str">
        <x:v>N/A</x:v>
      </x:c>
      <x:c r="O92" s="96" t="str">
        <x:f>IF(E92="","",IF(E92="Small",IF(OR(F92="",G92="",H92=""),"",IF(AND(F92="Yes",G92="Small",H92="Skip"),"Yes","No")),IF(OR(E92="Normal",E92="Large"),IF(OR(F92="",G92="",H92="",K92="",L92="",M92="",N92=""),"",IF(AND(F92="Yes",G92=E92,H92="Pick",K92="Yes",L92="No",M92=IF(E92="Normal","Normal_Bin","Large_Bin"),N92="Yes"),"Yes","No")),"")))</x:f>
      </x:c>
      <x:c r="P92" s="99" t="str">
        <x:v>NONE</x:v>
      </x:c>
      <x:c r="Q92" s="101"/>
      <x:c r="R92" s="102"/>
    </x:row>
    <x:row r="93">
      <x:c r="A93" s="97" t="n">
        <x:v>8</x:v>
      </x:c>
      <x:c r="B93" s="98" t="str">
        <x:v>B</x:v>
      </x:c>
      <x:c r="C93" s="97" t="n">
        <x:v>3</x:v>
      </x:c>
      <x:c r="D93" s="96" t="str">
        <x:f>IF(OR(A93="",B93="",E93=""),"","R"&amp;TEXT(A93,"00")&amp;"-"&amp;B93&amp;"-"&amp;LEFT(E93,1)&amp;IF(COUNTIFS($A$2:A93,A93,$B$2:B93,B93,$E$2:E93,E93)&gt;1,"-"&amp;COUNTIFS($A$2:A93,A93,$B$2:B93,B93,$E$2:E93,E93),""))</x:f>
        <x:v>R08-B-N</x:v>
      </x:c>
      <x:c r="E93" s="99" t="str">
        <x:v>Normal</x:v>
      </x:c>
      <x:c r="F93" s="99"/>
      <x:c r="G93" s="99"/>
      <x:c r="H93" s="99"/>
      <x:c r="I93" s="100"/>
      <x:c r="J93" s="99"/>
      <x:c r="K93" s="99"/>
      <x:c r="L93" s="99"/>
      <x:c r="M93" s="99"/>
      <x:c r="N93" s="99"/>
      <x:c r="O93" s="96" t="str">
        <x:f>IF(E93="","",IF(E93="Small",IF(OR(F93="",G93="",H93=""),"",IF(AND(F93="Yes",G93="Small",H93="Skip"),"Yes","No")),IF(OR(E93="Normal",E93="Large"),IF(OR(F93="",G93="",H93="",K93="",L93="",M93="",N93=""),"",IF(AND(F93="Yes",G93=E93,H93="Pick",K93="Yes",L93="No",M93=IF(E93="Normal","Normal_Bin","Large_Bin"),N93="Yes"),"Yes","No")),"")))</x:f>
      </x:c>
      <x:c r="P93" s="99" t="str">
        <x:v>NONE</x:v>
      </x:c>
      <x:c r="Q93" s="101"/>
      <x:c r="R93" s="102"/>
    </x:row>
    <x:row r="94">
      <x:c r="A94" s="97" t="n">
        <x:v>8</x:v>
      </x:c>
      <x:c r="B94" s="98" t="str">
        <x:v>B</x:v>
      </x:c>
      <x:c r="C94" s="97" t="n">
        <x:v>3</x:v>
      </x:c>
      <x:c r="D94" s="96" t="str">
        <x:f>IF(OR(A94="",B94="",E94=""),"","R"&amp;TEXT(A94,"00")&amp;"-"&amp;B94&amp;"-"&amp;LEFT(E94,1)&amp;IF(COUNTIFS($A$2:A94,A94,$B$2:B94,B94,$E$2:E94,E94)&gt;1,"-"&amp;COUNTIFS($A$2:A94,A94,$B$2:B94,B94,$E$2:E94,E94),""))</x:f>
        <x:v>R08-B-L</x:v>
      </x:c>
      <x:c r="E94" s="99" t="str">
        <x:v>Large</x:v>
      </x:c>
      <x:c r="F94" s="99"/>
      <x:c r="G94" s="99"/>
      <x:c r="H94" s="99"/>
      <x:c r="I94" s="100"/>
      <x:c r="J94" s="99"/>
      <x:c r="K94" s="99"/>
      <x:c r="L94" s="99"/>
      <x:c r="M94" s="99"/>
      <x:c r="N94" s="99"/>
      <x:c r="O94" s="96" t="str">
        <x:f>IF(E94="","",IF(E94="Small",IF(OR(F94="",G94="",H94=""),"",IF(AND(F94="Yes",G94="Small",H94="Skip"),"Yes","No")),IF(OR(E94="Normal",E94="Large"),IF(OR(F94="",G94="",H94="",K94="",L94="",M94="",N94=""),"",IF(AND(F94="Yes",G94=E94,H94="Pick",K94="Yes",L94="No",M94=IF(E94="Normal","Normal_Bin","Large_Bin"),N94="Yes"),"Yes","No")),"")))</x:f>
      </x:c>
      <x:c r="P94" s="99" t="str">
        <x:v>NONE</x:v>
      </x:c>
      <x:c r="Q94" s="101"/>
      <x:c r="R94" s="102"/>
    </x:row>
    <x:row r="95">
      <x:c r="A95" s="97" t="n">
        <x:v>8</x:v>
      </x:c>
      <x:c r="B95" s="98" t="str">
        <x:v>C</x:v>
      </x:c>
      <x:c r="C95" s="97" t="n">
        <x:v>4</x:v>
      </x:c>
      <x:c r="D95" s="96" t="str">
        <x:f>IF(OR(A95="",B95="",E95=""),"","R"&amp;TEXT(A95,"00")&amp;"-"&amp;B95&amp;"-"&amp;LEFT(E95,1)&amp;IF(COUNTIFS($A$2:A95,A95,$B$2:B95,B95,$E$2:E95,E95)&gt;1,"-"&amp;COUNTIFS($A$2:A95,A95,$B$2:B95,B95,$E$2:E95,E95),""))</x:f>
        <x:v>R08-C-S</x:v>
      </x:c>
      <x:c r="E95" s="99" t="str">
        <x:v>Small</x:v>
      </x:c>
      <x:c r="F95" s="99"/>
      <x:c r="G95" s="99"/>
      <x:c r="H95" s="99"/>
      <x:c r="I95" s="100" t="n">
        <x:v>0</x:v>
      </x:c>
      <x:c r="J95" s="99" t="str">
        <x:v>N/A</x:v>
      </x:c>
      <x:c r="K95" s="99" t="str">
        <x:v>N/A</x:v>
      </x:c>
      <x:c r="L95" s="99" t="str">
        <x:v>N/A</x:v>
      </x:c>
      <x:c r="M95" s="99" t="str">
        <x:v>N/A</x:v>
      </x:c>
      <x:c r="N95" s="99" t="str">
        <x:v>N/A</x:v>
      </x:c>
      <x:c r="O95" s="96" t="str">
        <x:f>IF(E95="","",IF(E95="Small",IF(OR(F95="",G95="",H95=""),"",IF(AND(F95="Yes",G95="Small",H95="Skip"),"Yes","No")),IF(OR(E95="Normal",E95="Large"),IF(OR(F95="",G95="",H95="",K95="",L95="",M95="",N95=""),"",IF(AND(F95="Yes",G95=E95,H95="Pick",K95="Yes",L95="No",M95=IF(E95="Normal","Normal_Bin","Large_Bin"),N95="Yes"),"Yes","No")),"")))</x:f>
      </x:c>
      <x:c r="P95" s="99" t="str">
        <x:v>NONE</x:v>
      </x:c>
      <x:c r="Q95" s="101"/>
      <x:c r="R95" s="102"/>
    </x:row>
    <x:row r="96">
      <x:c r="A96" s="97" t="n">
        <x:v>8</x:v>
      </x:c>
      <x:c r="B96" s="98" t="str">
        <x:v>C</x:v>
      </x:c>
      <x:c r="C96" s="97" t="n">
        <x:v>4</x:v>
      </x:c>
      <x:c r="D96" s="96" t="str">
        <x:f>IF(OR(A96="",B96="",E96=""),"","R"&amp;TEXT(A96,"00")&amp;"-"&amp;B96&amp;"-"&amp;LEFT(E96,1)&amp;IF(COUNTIFS($A$2:A96,A96,$B$2:B96,B96,$E$2:E96,E96)&gt;1,"-"&amp;COUNTIFS($A$2:A96,A96,$B$2:B96,B96,$E$2:E96,E96),""))</x:f>
        <x:v>R08-C-N</x:v>
      </x:c>
      <x:c r="E96" s="99" t="str">
        <x:v>Normal</x:v>
      </x:c>
      <x:c r="F96" s="99"/>
      <x:c r="G96" s="99"/>
      <x:c r="H96" s="99"/>
      <x:c r="I96" s="100"/>
      <x:c r="J96" s="99"/>
      <x:c r="K96" s="99"/>
      <x:c r="L96" s="99"/>
      <x:c r="M96" s="99"/>
      <x:c r="N96" s="99"/>
      <x:c r="O96" s="96" t="str">
        <x:f>IF(E96="","",IF(E96="Small",IF(OR(F96="",G96="",H96=""),"",IF(AND(F96="Yes",G96="Small",H96="Skip"),"Yes","No")),IF(OR(E96="Normal",E96="Large"),IF(OR(F96="",G96="",H96="",K96="",L96="",M96="",N96=""),"",IF(AND(F96="Yes",G96=E96,H96="Pick",K96="Yes",L96="No",M96=IF(E96="Normal","Normal_Bin","Large_Bin"),N96="Yes"),"Yes","No")),"")))</x:f>
      </x:c>
      <x:c r="P96" s="99" t="str">
        <x:v>NONE</x:v>
      </x:c>
      <x:c r="Q96" s="101"/>
      <x:c r="R96" s="102"/>
    </x:row>
    <x:row r="97">
      <x:c r="A97" s="97" t="n">
        <x:v>8</x:v>
      </x:c>
      <x:c r="B97" s="98" t="str">
        <x:v>C</x:v>
      </x:c>
      <x:c r="C97" s="97" t="n">
        <x:v>4</x:v>
      </x:c>
      <x:c r="D97" s="96" t="str">
        <x:f>IF(OR(A97="",B97="",E97=""),"","R"&amp;TEXT(A97,"00")&amp;"-"&amp;B97&amp;"-"&amp;LEFT(E97,1)&amp;IF(COUNTIFS($A$2:A97,A97,$B$2:B97,B97,$E$2:E97,E97)&gt;1,"-"&amp;COUNTIFS($A$2:A97,A97,$B$2:B97,B97,$E$2:E97,E97),""))</x:f>
        <x:v>R08-C-L</x:v>
      </x:c>
      <x:c r="E97" s="99" t="str">
        <x:v>Large</x:v>
      </x:c>
      <x:c r="F97" s="99"/>
      <x:c r="G97" s="99"/>
      <x:c r="H97" s="99"/>
      <x:c r="I97" s="100"/>
      <x:c r="J97" s="99"/>
      <x:c r="K97" s="99"/>
      <x:c r="L97" s="99"/>
      <x:c r="M97" s="99"/>
      <x:c r="N97" s="99"/>
      <x:c r="O97" s="96" t="str">
        <x:f>IF(E97="","",IF(E97="Small",IF(OR(F97="",G97="",H97=""),"",IF(AND(F97="Yes",G97="Small",H97="Skip"),"Yes","No")),IF(OR(E97="Normal",E97="Large"),IF(OR(F97="",G97="",H97="",K97="",L97="",M97="",N97=""),"",IF(AND(F97="Yes",G97=E97,H97="Pick",K97="Yes",L97="No",M97=IF(E97="Normal","Normal_Bin","Large_Bin"),N97="Yes"),"Yes","No")),"")))</x:f>
      </x:c>
      <x:c r="P97" s="99" t="str">
        <x:v>NONE</x:v>
      </x:c>
      <x:c r="Q97" s="101"/>
      <x:c r="R97" s="102"/>
    </x:row>
    <x:row r="98">
      <x:c r="A98" s="97" t="n">
        <x:v>9</x:v>
      </x:c>
      <x:c r="B98" s="98" t="str">
        <x:v>A</x:v>
      </x:c>
      <x:c r="C98" s="97" t="n">
        <x:v>1</x:v>
      </x:c>
      <x:c r="D98" s="96" t="str">
        <x:f>IF(OR(A98="",B98="",E98=""),"","R"&amp;TEXT(A98,"00")&amp;"-"&amp;B98&amp;"-"&amp;LEFT(E98,1)&amp;IF(COUNTIFS($A$2:A98,A98,$B$2:B98,B98,$E$2:E98,E98)&gt;1,"-"&amp;COUNTIFS($A$2:A98,A98,$B$2:B98,B98,$E$2:E98,E98),""))</x:f>
        <x:v>R09-A-S</x:v>
      </x:c>
      <x:c r="E98" s="99" t="str">
        <x:v>Small</x:v>
      </x:c>
      <x:c r="F98" s="99"/>
      <x:c r="G98" s="99"/>
      <x:c r="H98" s="99"/>
      <x:c r="I98" s="100" t="n">
        <x:v>0</x:v>
      </x:c>
      <x:c r="J98" s="99" t="str">
        <x:v>N/A</x:v>
      </x:c>
      <x:c r="K98" s="99" t="str">
        <x:v>N/A</x:v>
      </x:c>
      <x:c r="L98" s="99" t="str">
        <x:v>N/A</x:v>
      </x:c>
      <x:c r="M98" s="99" t="str">
        <x:v>N/A</x:v>
      </x:c>
      <x:c r="N98" s="99" t="str">
        <x:v>N/A</x:v>
      </x:c>
      <x:c r="O98" s="96" t="str">
        <x:f>IF(E98="","",IF(E98="Small",IF(OR(F98="",G98="",H98=""),"",IF(AND(F98="Yes",G98="Small",H98="Skip"),"Yes","No")),IF(OR(E98="Normal",E98="Large"),IF(OR(F98="",G98="",H98="",K98="",L98="",M98="",N98=""),"",IF(AND(F98="Yes",G98=E98,H98="Pick",K98="Yes",L98="No",M98=IF(E98="Normal","Normal_Bin","Large_Bin"),N98="Yes"),"Yes","No")),"")))</x:f>
      </x:c>
      <x:c r="P98" s="99" t="str">
        <x:v>NONE</x:v>
      </x:c>
      <x:c r="Q98" s="101"/>
      <x:c r="R98" s="102"/>
    </x:row>
    <x:row r="99">
      <x:c r="A99" s="97" t="n">
        <x:v>9</x:v>
      </x:c>
      <x:c r="B99" s="98" t="str">
        <x:v>A</x:v>
      </x:c>
      <x:c r="C99" s="97" t="n">
        <x:v>1</x:v>
      </x:c>
      <x:c r="D99" s="96" t="str">
        <x:f>IF(OR(A99="",B99="",E99=""),"","R"&amp;TEXT(A99,"00")&amp;"-"&amp;B99&amp;"-"&amp;LEFT(E99,1)&amp;IF(COUNTIFS($A$2:A99,A99,$B$2:B99,B99,$E$2:E99,E99)&gt;1,"-"&amp;COUNTIFS($A$2:A99,A99,$B$2:B99,B99,$E$2:E99,E99),""))</x:f>
        <x:v>R09-A-N</x:v>
      </x:c>
      <x:c r="E99" s="99" t="str">
        <x:v>Normal</x:v>
      </x:c>
      <x:c r="F99" s="99"/>
      <x:c r="G99" s="99"/>
      <x:c r="H99" s="99"/>
      <x:c r="I99" s="100"/>
      <x:c r="J99" s="99"/>
      <x:c r="K99" s="99"/>
      <x:c r="L99" s="99"/>
      <x:c r="M99" s="99"/>
      <x:c r="N99" s="99"/>
      <x:c r="O99" s="96" t="str">
        <x:f>IF(E99="","",IF(E99="Small",IF(OR(F99="",G99="",H99=""),"",IF(AND(F99="Yes",G99="Small",H99="Skip"),"Yes","No")),IF(OR(E99="Normal",E99="Large"),IF(OR(F99="",G99="",H99="",K99="",L99="",M99="",N99=""),"",IF(AND(F99="Yes",G99=E99,H99="Pick",K99="Yes",L99="No",M99=IF(E99="Normal","Normal_Bin","Large_Bin"),N99="Yes"),"Yes","No")),"")))</x:f>
      </x:c>
      <x:c r="P99" s="99" t="str">
        <x:v>NONE</x:v>
      </x:c>
      <x:c r="Q99" s="101"/>
      <x:c r="R99" s="102"/>
    </x:row>
    <x:row r="100">
      <x:c r="A100" s="97" t="n">
        <x:v>9</x:v>
      </x:c>
      <x:c r="B100" s="98" t="str">
        <x:v>A</x:v>
      </x:c>
      <x:c r="C100" s="97" t="n">
        <x:v>1</x:v>
      </x:c>
      <x:c r="D100" s="96" t="str">
        <x:f>IF(OR(A100="",B100="",E100=""),"","R"&amp;TEXT(A100,"00")&amp;"-"&amp;B100&amp;"-"&amp;LEFT(E100,1)&amp;IF(COUNTIFS($A$2:A100,A100,$B$2:B100,B100,$E$2:E100,E100)&gt;1,"-"&amp;COUNTIFS($A$2:A100,A100,$B$2:B100,B100,$E$2:E100,E100),""))</x:f>
        <x:v>R09-A-L</x:v>
      </x:c>
      <x:c r="E100" s="99" t="str">
        <x:v>Large</x:v>
      </x:c>
      <x:c r="F100" s="99"/>
      <x:c r="G100" s="99"/>
      <x:c r="H100" s="99"/>
      <x:c r="I100" s="100"/>
      <x:c r="J100" s="99"/>
      <x:c r="K100" s="99"/>
      <x:c r="L100" s="99"/>
      <x:c r="M100" s="99"/>
      <x:c r="N100" s="99"/>
      <x:c r="O100" s="96" t="str">
        <x:f>IF(E100="","",IF(E100="Small",IF(OR(F100="",G100="",H100=""),"",IF(AND(F100="Yes",G100="Small",H100="Skip"),"Yes","No")),IF(OR(E100="Normal",E100="Large"),IF(OR(F100="",G100="",H100="",K100="",L100="",M100="",N100=""),"",IF(AND(F100="Yes",G100=E100,H100="Pick",K100="Yes",L100="No",M100=IF(E100="Normal","Normal_Bin","Large_Bin"),N100="Yes"),"Yes","No")),"")))</x:f>
      </x:c>
      <x:c r="P100" s="99" t="str">
        <x:v>NONE</x:v>
      </x:c>
      <x:c r="Q100" s="101"/>
      <x:c r="R100" s="102"/>
    </x:row>
    <x:row r="101">
      <x:c r="A101" s="97" t="n">
        <x:v>9</x:v>
      </x:c>
      <x:c r="B101" s="98" t="str">
        <x:v>B</x:v>
      </x:c>
      <x:c r="C101" s="97" t="n">
        <x:v>2</x:v>
      </x:c>
      <x:c r="D101" s="96" t="str">
        <x:f>IF(OR(A101="",B101="",E101=""),"","R"&amp;TEXT(A101,"00")&amp;"-"&amp;B101&amp;"-"&amp;LEFT(E101,1)&amp;IF(COUNTIFS($A$2:A101,A101,$B$2:B101,B101,$E$2:E101,E101)&gt;1,"-"&amp;COUNTIFS($A$2:A101,A101,$B$2:B101,B101,$E$2:E101,E101),""))</x:f>
        <x:v>R09-B-S</x:v>
      </x:c>
      <x:c r="E101" s="99" t="str">
        <x:v>Small</x:v>
      </x:c>
      <x:c r="F101" s="99"/>
      <x:c r="G101" s="99"/>
      <x:c r="H101" s="99"/>
      <x:c r="I101" s="100" t="n">
        <x:v>0</x:v>
      </x:c>
      <x:c r="J101" s="99" t="str">
        <x:v>N/A</x:v>
      </x:c>
      <x:c r="K101" s="99" t="str">
        <x:v>N/A</x:v>
      </x:c>
      <x:c r="L101" s="99" t="str">
        <x:v>N/A</x:v>
      </x:c>
      <x:c r="M101" s="99" t="str">
        <x:v>N/A</x:v>
      </x:c>
      <x:c r="N101" s="99" t="str">
        <x:v>N/A</x:v>
      </x:c>
      <x:c r="O101" s="96" t="str">
        <x:f>IF(E101="","",IF(E101="Small",IF(OR(F101="",G101="",H101=""),"",IF(AND(F101="Yes",G101="Small",H101="Skip"),"Yes","No")),IF(OR(E101="Normal",E101="Large"),IF(OR(F101="",G101="",H101="",K101="",L101="",M101="",N101=""),"",IF(AND(F101="Yes",G101=E101,H101="Pick",K101="Yes",L101="No",M101=IF(E101="Normal","Normal_Bin","Large_Bin"),N101="Yes"),"Yes","No")),"")))</x:f>
      </x:c>
      <x:c r="P101" s="99" t="str">
        <x:v>NONE</x:v>
      </x:c>
      <x:c r="Q101" s="101"/>
      <x:c r="R101" s="102"/>
    </x:row>
    <x:row r="102">
      <x:c r="A102" s="97" t="n">
        <x:v>9</x:v>
      </x:c>
      <x:c r="B102" s="98" t="str">
        <x:v>B</x:v>
      </x:c>
      <x:c r="C102" s="97" t="n">
        <x:v>2</x:v>
      </x:c>
      <x:c r="D102" s="96" t="str">
        <x:f>IF(OR(A102="",B102="",E102=""),"","R"&amp;TEXT(A102,"00")&amp;"-"&amp;B102&amp;"-"&amp;LEFT(E102,1)&amp;IF(COUNTIFS($A$2:A102,A102,$B$2:B102,B102,$E$2:E102,E102)&gt;1,"-"&amp;COUNTIFS($A$2:A102,A102,$B$2:B102,B102,$E$2:E102,E102),""))</x:f>
        <x:v>R09-B-N</x:v>
      </x:c>
      <x:c r="E102" s="99" t="str">
        <x:v>Normal</x:v>
      </x:c>
      <x:c r="F102" s="99"/>
      <x:c r="G102" s="99"/>
      <x:c r="H102" s="99"/>
      <x:c r="I102" s="100"/>
      <x:c r="J102" s="99"/>
      <x:c r="K102" s="99"/>
      <x:c r="L102" s="99"/>
      <x:c r="M102" s="99"/>
      <x:c r="N102" s="99"/>
      <x:c r="O102" s="96" t="str">
        <x:f>IF(E102="","",IF(E102="Small",IF(OR(F102="",G102="",H102=""),"",IF(AND(F102="Yes",G102="Small",H102="Skip"),"Yes","No")),IF(OR(E102="Normal",E102="Large"),IF(OR(F102="",G102="",H102="",K102="",L102="",M102="",N102=""),"",IF(AND(F102="Yes",G102=E102,H102="Pick",K102="Yes",L102="No",M102=IF(E102="Normal","Normal_Bin","Large_Bin"),N102="Yes"),"Yes","No")),"")))</x:f>
      </x:c>
      <x:c r="P102" s="99" t="str">
        <x:v>NONE</x:v>
      </x:c>
      <x:c r="Q102" s="101"/>
      <x:c r="R102" s="102"/>
    </x:row>
    <x:row r="103">
      <x:c r="A103" s="97" t="n">
        <x:v>9</x:v>
      </x:c>
      <x:c r="B103" s="98" t="str">
        <x:v>B</x:v>
      </x:c>
      <x:c r="C103" s="97" t="n">
        <x:v>2</x:v>
      </x:c>
      <x:c r="D103" s="96" t="str">
        <x:f>IF(OR(A103="",B103="",E103=""),"","R"&amp;TEXT(A103,"00")&amp;"-"&amp;B103&amp;"-"&amp;LEFT(E103,1)&amp;IF(COUNTIFS($A$2:A103,A103,$B$2:B103,B103,$E$2:E103,E103)&gt;1,"-"&amp;COUNTIFS($A$2:A103,A103,$B$2:B103,B103,$E$2:E103,E103),""))</x:f>
        <x:v>R09-B-L</x:v>
      </x:c>
      <x:c r="E103" s="99" t="str">
        <x:v>Large</x:v>
      </x:c>
      <x:c r="F103" s="99"/>
      <x:c r="G103" s="99"/>
      <x:c r="H103" s="99"/>
      <x:c r="I103" s="100"/>
      <x:c r="J103" s="99"/>
      <x:c r="K103" s="99"/>
      <x:c r="L103" s="99"/>
      <x:c r="M103" s="99"/>
      <x:c r="N103" s="99"/>
      <x:c r="O103" s="96" t="str">
        <x:f>IF(E103="","",IF(E103="Small",IF(OR(F103="",G103="",H103=""),"",IF(AND(F103="Yes",G103="Small",H103="Skip"),"Yes","No")),IF(OR(E103="Normal",E103="Large"),IF(OR(F103="",G103="",H103="",K103="",L103="",M103="",N103=""),"",IF(AND(F103="Yes",G103=E103,H103="Pick",K103="Yes",L103="No",M103=IF(E103="Normal","Normal_Bin","Large_Bin"),N103="Yes"),"Yes","No")),"")))</x:f>
      </x:c>
      <x:c r="P103" s="99" t="str">
        <x:v>NONE</x:v>
      </x:c>
      <x:c r="Q103" s="101"/>
      <x:c r="R103" s="102"/>
    </x:row>
    <x:row r="104">
      <x:c r="A104" s="97" t="n">
        <x:v>9</x:v>
      </x:c>
      <x:c r="B104" s="98" t="str">
        <x:v>C</x:v>
      </x:c>
      <x:c r="C104" s="97" t="n">
        <x:v>3</x:v>
      </x:c>
      <x:c r="D104" s="96" t="str">
        <x:f>IF(OR(A104="",B104="",E104=""),"","R"&amp;TEXT(A104,"00")&amp;"-"&amp;B104&amp;"-"&amp;LEFT(E104,1)&amp;IF(COUNTIFS($A$2:A104,A104,$B$2:B104,B104,$E$2:E104,E104)&gt;1,"-"&amp;COUNTIFS($A$2:A104,A104,$B$2:B104,B104,$E$2:E104,E104),""))</x:f>
        <x:v>R09-C-S</x:v>
      </x:c>
      <x:c r="E104" s="99" t="str">
        <x:v>Small</x:v>
      </x:c>
      <x:c r="F104" s="99"/>
      <x:c r="G104" s="99"/>
      <x:c r="H104" s="99"/>
      <x:c r="I104" s="100" t="n">
        <x:v>0</x:v>
      </x:c>
      <x:c r="J104" s="99" t="str">
        <x:v>N/A</x:v>
      </x:c>
      <x:c r="K104" s="99" t="str">
        <x:v>N/A</x:v>
      </x:c>
      <x:c r="L104" s="99" t="str">
        <x:v>N/A</x:v>
      </x:c>
      <x:c r="M104" s="99" t="str">
        <x:v>N/A</x:v>
      </x:c>
      <x:c r="N104" s="99" t="str">
        <x:v>N/A</x:v>
      </x:c>
      <x:c r="O104" s="96" t="str">
        <x:f>IF(E104="","",IF(E104="Small",IF(OR(F104="",G104="",H104=""),"",IF(AND(F104="Yes",G104="Small",H104="Skip"),"Yes","No")),IF(OR(E104="Normal",E104="Large"),IF(OR(F104="",G104="",H104="",K104="",L104="",M104="",N104=""),"",IF(AND(F104="Yes",G104=E104,H104="Pick",K104="Yes",L104="No",M104=IF(E104="Normal","Normal_Bin","Large_Bin"),N104="Yes"),"Yes","No")),"")))</x:f>
      </x:c>
      <x:c r="P104" s="99" t="str">
        <x:v>NONE</x:v>
      </x:c>
      <x:c r="Q104" s="101"/>
      <x:c r="R104" s="102"/>
    </x:row>
    <x:row r="105">
      <x:c r="A105" s="97" t="n">
        <x:v>9</x:v>
      </x:c>
      <x:c r="B105" s="98" t="str">
        <x:v>C</x:v>
      </x:c>
      <x:c r="C105" s="97" t="n">
        <x:v>3</x:v>
      </x:c>
      <x:c r="D105" s="96" t="str">
        <x:f>IF(OR(A105="",B105="",E105=""),"","R"&amp;TEXT(A105,"00")&amp;"-"&amp;B105&amp;"-"&amp;LEFT(E105,1)&amp;IF(COUNTIFS($A$2:A105,A105,$B$2:B105,B105,$E$2:E105,E105)&gt;1,"-"&amp;COUNTIFS($A$2:A105,A105,$B$2:B105,B105,$E$2:E105,E105),""))</x:f>
        <x:v>R09-C-N</x:v>
      </x:c>
      <x:c r="E105" s="99" t="str">
        <x:v>Normal</x:v>
      </x:c>
      <x:c r="F105" s="99"/>
      <x:c r="G105" s="99"/>
      <x:c r="H105" s="99"/>
      <x:c r="I105" s="100"/>
      <x:c r="J105" s="99"/>
      <x:c r="K105" s="99"/>
      <x:c r="L105" s="99"/>
      <x:c r="M105" s="99"/>
      <x:c r="N105" s="99"/>
      <x:c r="O105" s="96" t="str">
        <x:f>IF(E105="","",IF(E105="Small",IF(OR(F105="",G105="",H105=""),"",IF(AND(F105="Yes",G105="Small",H105="Skip"),"Yes","No")),IF(OR(E105="Normal",E105="Large"),IF(OR(F105="",G105="",H105="",K105="",L105="",M105="",N105=""),"",IF(AND(F105="Yes",G105=E105,H105="Pick",K105="Yes",L105="No",M105=IF(E105="Normal","Normal_Bin","Large_Bin"),N105="Yes"),"Yes","No")),"")))</x:f>
      </x:c>
      <x:c r="P105" s="99" t="str">
        <x:v>NONE</x:v>
      </x:c>
      <x:c r="Q105" s="101"/>
      <x:c r="R105" s="102"/>
    </x:row>
    <x:row r="106">
      <x:c r="A106" s="97" t="n">
        <x:v>9</x:v>
      </x:c>
      <x:c r="B106" s="98" t="str">
        <x:v>C</x:v>
      </x:c>
      <x:c r="C106" s="97" t="n">
        <x:v>3</x:v>
      </x:c>
      <x:c r="D106" s="96" t="str">
        <x:f>IF(OR(A106="",B106="",E106=""),"","R"&amp;TEXT(A106,"00")&amp;"-"&amp;B106&amp;"-"&amp;LEFT(E106,1)&amp;IF(COUNTIFS($A$2:A106,A106,$B$2:B106,B106,$E$2:E106,E106)&gt;1,"-"&amp;COUNTIFS($A$2:A106,A106,$B$2:B106,B106,$E$2:E106,E106),""))</x:f>
        <x:v>R09-C-L</x:v>
      </x:c>
      <x:c r="E106" s="99" t="str">
        <x:v>Large</x:v>
      </x:c>
      <x:c r="F106" s="99"/>
      <x:c r="G106" s="99"/>
      <x:c r="H106" s="99"/>
      <x:c r="I106" s="100"/>
      <x:c r="J106" s="99"/>
      <x:c r="K106" s="99"/>
      <x:c r="L106" s="99"/>
      <x:c r="M106" s="99"/>
      <x:c r="N106" s="99"/>
      <x:c r="O106" s="96" t="str">
        <x:f>IF(E106="","",IF(E106="Small",IF(OR(F106="",G106="",H106=""),"",IF(AND(F106="Yes",G106="Small",H106="Skip"),"Yes","No")),IF(OR(E106="Normal",E106="Large"),IF(OR(F106="",G106="",H106="",K106="",L106="",M106="",N106=""),"",IF(AND(F106="Yes",G106=E106,H106="Pick",K106="Yes",L106="No",M106=IF(E106="Normal","Normal_Bin","Large_Bin"),N106="Yes"),"Yes","No")),"")))</x:f>
      </x:c>
      <x:c r="P106" s="99" t="str">
        <x:v>NONE</x:v>
      </x:c>
      <x:c r="Q106" s="101"/>
      <x:c r="R106" s="102"/>
    </x:row>
    <x:row r="107">
      <x:c r="A107" s="97" t="n">
        <x:v>9</x:v>
      </x:c>
      <x:c r="B107" s="98" t="str">
        <x:v>D</x:v>
      </x:c>
      <x:c r="C107" s="97" t="n">
        <x:v>4</x:v>
      </x:c>
      <x:c r="D107" s="96" t="str">
        <x:f>IF(OR(A107="",B107="",E107=""),"","R"&amp;TEXT(A107,"00")&amp;"-"&amp;B107&amp;"-"&amp;LEFT(E107,1)&amp;IF(COUNTIFS($A$2:A107,A107,$B$2:B107,B107,$E$2:E107,E107)&gt;1,"-"&amp;COUNTIFS($A$2:A107,A107,$B$2:B107,B107,$E$2:E107,E107),""))</x:f>
        <x:v>R09-D-S</x:v>
      </x:c>
      <x:c r="E107" s="99" t="str">
        <x:v>Small</x:v>
      </x:c>
      <x:c r="F107" s="99"/>
      <x:c r="G107" s="99"/>
      <x:c r="H107" s="99"/>
      <x:c r="I107" s="100" t="n">
        <x:v>0</x:v>
      </x:c>
      <x:c r="J107" s="99" t="str">
        <x:v>N/A</x:v>
      </x:c>
      <x:c r="K107" s="99" t="str">
        <x:v>N/A</x:v>
      </x:c>
      <x:c r="L107" s="99" t="str">
        <x:v>N/A</x:v>
      </x:c>
      <x:c r="M107" s="99" t="str">
        <x:v>N/A</x:v>
      </x:c>
      <x:c r="N107" s="99" t="str">
        <x:v>N/A</x:v>
      </x:c>
      <x:c r="O107" s="96" t="str">
        <x:f>IF(E107="","",IF(E107="Small",IF(OR(F107="",G107="",H107=""),"",IF(AND(F107="Yes",G107="Small",H107="Skip"),"Yes","No")),IF(OR(E107="Normal",E107="Large"),IF(OR(F107="",G107="",H107="",K107="",L107="",M107="",N107=""),"",IF(AND(F107="Yes",G107=E107,H107="Pick",K107="Yes",L107="No",M107=IF(E107="Normal","Normal_Bin","Large_Bin"),N107="Yes"),"Yes","No")),"")))</x:f>
      </x:c>
      <x:c r="P107" s="99" t="str">
        <x:v>NONE</x:v>
      </x:c>
      <x:c r="Q107" s="101"/>
      <x:c r="R107" s="102"/>
    </x:row>
    <x:row r="108">
      <x:c r="A108" s="97" t="n">
        <x:v>9</x:v>
      </x:c>
      <x:c r="B108" s="98" t="str">
        <x:v>D</x:v>
      </x:c>
      <x:c r="C108" s="97" t="n">
        <x:v>4</x:v>
      </x:c>
      <x:c r="D108" s="96" t="str">
        <x:f>IF(OR(A108="",B108="",E108=""),"","R"&amp;TEXT(A108,"00")&amp;"-"&amp;B108&amp;"-"&amp;LEFT(E108,1)&amp;IF(COUNTIFS($A$2:A108,A108,$B$2:B108,B108,$E$2:E108,E108)&gt;1,"-"&amp;COUNTIFS($A$2:A108,A108,$B$2:B108,B108,$E$2:E108,E108),""))</x:f>
        <x:v>R09-D-N</x:v>
      </x:c>
      <x:c r="E108" s="99" t="str">
        <x:v>Normal</x:v>
      </x:c>
      <x:c r="F108" s="99"/>
      <x:c r="G108" s="99"/>
      <x:c r="H108" s="99"/>
      <x:c r="I108" s="100"/>
      <x:c r="J108" s="99"/>
      <x:c r="K108" s="99"/>
      <x:c r="L108" s="99"/>
      <x:c r="M108" s="99"/>
      <x:c r="N108" s="99"/>
      <x:c r="O108" s="96" t="str">
        <x:f>IF(E108="","",IF(E108="Small",IF(OR(F108="",G108="",H108=""),"",IF(AND(F108="Yes",G108="Small",H108="Skip"),"Yes","No")),IF(OR(E108="Normal",E108="Large"),IF(OR(F108="",G108="",H108="",K108="",L108="",M108="",N108=""),"",IF(AND(F108="Yes",G108=E108,H108="Pick",K108="Yes",L108="No",M108=IF(E108="Normal","Normal_Bin","Large_Bin"),N108="Yes"),"Yes","No")),"")))</x:f>
      </x:c>
      <x:c r="P108" s="99" t="str">
        <x:v>NONE</x:v>
      </x:c>
      <x:c r="Q108" s="101"/>
      <x:c r="R108" s="102"/>
    </x:row>
    <x:row r="109">
      <x:c r="A109" s="97" t="n">
        <x:v>9</x:v>
      </x:c>
      <x:c r="B109" s="98" t="str">
        <x:v>D</x:v>
      </x:c>
      <x:c r="C109" s="97" t="n">
        <x:v>4</x:v>
      </x:c>
      <x:c r="D109" s="96" t="str">
        <x:f>IF(OR(A109="",B109="",E109=""),"","R"&amp;TEXT(A109,"00")&amp;"-"&amp;B109&amp;"-"&amp;LEFT(E109,1)&amp;IF(COUNTIFS($A$2:A109,A109,$B$2:B109,B109,$E$2:E109,E109)&gt;1,"-"&amp;COUNTIFS($A$2:A109,A109,$B$2:B109,B109,$E$2:E109,E109),""))</x:f>
        <x:v>R09-D-L</x:v>
      </x:c>
      <x:c r="E109" s="99" t="str">
        <x:v>Large</x:v>
      </x:c>
      <x:c r="F109" s="99"/>
      <x:c r="G109" s="99"/>
      <x:c r="H109" s="99"/>
      <x:c r="I109" s="100"/>
      <x:c r="J109" s="99"/>
      <x:c r="K109" s="99"/>
      <x:c r="L109" s="99"/>
      <x:c r="M109" s="99"/>
      <x:c r="N109" s="99"/>
      <x:c r="O109" s="96" t="str">
        <x:f>IF(E109="","",IF(E109="Small",IF(OR(F109="",G109="",H109=""),"",IF(AND(F109="Yes",G109="Small",H109="Skip"),"Yes","No")),IF(OR(E109="Normal",E109="Large"),IF(OR(F109="",G109="",H109="",K109="",L109="",M109="",N109=""),"",IF(AND(F109="Yes",G109=E109,H109="Pick",K109="Yes",L109="No",M109=IF(E109="Normal","Normal_Bin","Large_Bin"),N109="Yes"),"Yes","No")),"")))</x:f>
      </x:c>
      <x:c r="P109" s="99" t="str">
        <x:v>NONE</x:v>
      </x:c>
      <x:c r="Q109" s="101"/>
      <x:c r="R109" s="102"/>
    </x:row>
    <x:row r="110">
      <x:c r="A110" s="97" t="n">
        <x:v>10</x:v>
      </x:c>
      <x:c r="B110" s="98" t="str">
        <x:v>B</x:v>
      </x:c>
      <x:c r="C110" s="97" t="n">
        <x:v>1</x:v>
      </x:c>
      <x:c r="D110" s="96" t="str">
        <x:f>IF(OR(A110="",B110="",E110=""),"","R"&amp;TEXT(A110,"00")&amp;"-"&amp;B110&amp;"-"&amp;LEFT(E110,1)&amp;IF(COUNTIFS($A$2:A110,A110,$B$2:B110,B110,$E$2:E110,E110)&gt;1,"-"&amp;COUNTIFS($A$2:A110,A110,$B$2:B110,B110,$E$2:E110,E110),""))</x:f>
        <x:v>R10-B-S</x:v>
      </x:c>
      <x:c r="E110" s="99" t="str">
        <x:v>Small</x:v>
      </x:c>
      <x:c r="F110" s="99"/>
      <x:c r="G110" s="99"/>
      <x:c r="H110" s="99"/>
      <x:c r="I110" s="100" t="n">
        <x:v>0</x:v>
      </x:c>
      <x:c r="J110" s="99" t="str">
        <x:v>N/A</x:v>
      </x:c>
      <x:c r="K110" s="99" t="str">
        <x:v>N/A</x:v>
      </x:c>
      <x:c r="L110" s="99" t="str">
        <x:v>N/A</x:v>
      </x:c>
      <x:c r="M110" s="99" t="str">
        <x:v>N/A</x:v>
      </x:c>
      <x:c r="N110" s="99" t="str">
        <x:v>N/A</x:v>
      </x:c>
      <x:c r="O110" s="96" t="str">
        <x:f>IF(E110="","",IF(E110="Small",IF(OR(F110="",G110="",H110=""),"",IF(AND(F110="Yes",G110="Small",H110="Skip"),"Yes","No")),IF(OR(E110="Normal",E110="Large"),IF(OR(F110="",G110="",H110="",K110="",L110="",M110="",N110=""),"",IF(AND(F110="Yes",G110=E110,H110="Pick",K110="Yes",L110="No",M110=IF(E110="Normal","Normal_Bin","Large_Bin"),N110="Yes"),"Yes","No")),"")))</x:f>
      </x:c>
      <x:c r="P110" s="99" t="str">
        <x:v>NONE</x:v>
      </x:c>
      <x:c r="Q110" s="101"/>
      <x:c r="R110" s="102"/>
    </x:row>
    <x:row r="111">
      <x:c r="A111" s="97" t="n">
        <x:v>10</x:v>
      </x:c>
      <x:c r="B111" s="98" t="str">
        <x:v>B</x:v>
      </x:c>
      <x:c r="C111" s="97" t="n">
        <x:v>1</x:v>
      </x:c>
      <x:c r="D111" s="96" t="str">
        <x:f>IF(OR(A111="",B111="",E111=""),"","R"&amp;TEXT(A111,"00")&amp;"-"&amp;B111&amp;"-"&amp;LEFT(E111,1)&amp;IF(COUNTIFS($A$2:A111,A111,$B$2:B111,B111,$E$2:E111,E111)&gt;1,"-"&amp;COUNTIFS($A$2:A111,A111,$B$2:B111,B111,$E$2:E111,E111),""))</x:f>
        <x:v>R10-B-N</x:v>
      </x:c>
      <x:c r="E111" s="99" t="str">
        <x:v>Normal</x:v>
      </x:c>
      <x:c r="F111" s="99"/>
      <x:c r="G111" s="99"/>
      <x:c r="H111" s="99"/>
      <x:c r="I111" s="100"/>
      <x:c r="J111" s="99"/>
      <x:c r="K111" s="99"/>
      <x:c r="L111" s="99"/>
      <x:c r="M111" s="99"/>
      <x:c r="N111" s="99"/>
      <x:c r="O111" s="96" t="str">
        <x:f>IF(E111="","",IF(E111="Small",IF(OR(F111="",G111="",H111=""),"",IF(AND(F111="Yes",G111="Small",H111="Skip"),"Yes","No")),IF(OR(E111="Normal",E111="Large"),IF(OR(F111="",G111="",H111="",K111="",L111="",M111="",N111=""),"",IF(AND(F111="Yes",G111=E111,H111="Pick",K111="Yes",L111="No",M111=IF(E111="Normal","Normal_Bin","Large_Bin"),N111="Yes"),"Yes","No")),"")))</x:f>
      </x:c>
      <x:c r="P111" s="99" t="str">
        <x:v>NONE</x:v>
      </x:c>
      <x:c r="Q111" s="101"/>
      <x:c r="R111" s="102"/>
    </x:row>
    <x:row r="112">
      <x:c r="A112" s="97" t="n">
        <x:v>10</x:v>
      </x:c>
      <x:c r="B112" s="98" t="str">
        <x:v>B</x:v>
      </x:c>
      <x:c r="C112" s="97" t="n">
        <x:v>1</x:v>
      </x:c>
      <x:c r="D112" s="96" t="str">
        <x:f>IF(OR(A112="",B112="",E112=""),"","R"&amp;TEXT(A112,"00")&amp;"-"&amp;B112&amp;"-"&amp;LEFT(E112,1)&amp;IF(COUNTIFS($A$2:A112,A112,$B$2:B112,B112,$E$2:E112,E112)&gt;1,"-"&amp;COUNTIFS($A$2:A112,A112,$B$2:B112,B112,$E$2:E112,E112),""))</x:f>
        <x:v>R10-B-L</x:v>
      </x:c>
      <x:c r="E112" s="99" t="str">
        <x:v>Large</x:v>
      </x:c>
      <x:c r="F112" s="99"/>
      <x:c r="G112" s="99"/>
      <x:c r="H112" s="99"/>
      <x:c r="I112" s="100"/>
      <x:c r="J112" s="99"/>
      <x:c r="K112" s="99"/>
      <x:c r="L112" s="99"/>
      <x:c r="M112" s="99"/>
      <x:c r="N112" s="99"/>
      <x:c r="O112" s="96" t="str">
        <x:f>IF(E112="","",IF(E112="Small",IF(OR(F112="",G112="",H112=""),"",IF(AND(F112="Yes",G112="Small",H112="Skip"),"Yes","No")),IF(OR(E112="Normal",E112="Large"),IF(OR(F112="",G112="",H112="",K112="",L112="",M112="",N112=""),"",IF(AND(F112="Yes",G112=E112,H112="Pick",K112="Yes",L112="No",M112=IF(E112="Normal","Normal_Bin","Large_Bin"),N112="Yes"),"Yes","No")),"")))</x:f>
      </x:c>
      <x:c r="P112" s="99" t="str">
        <x:v>NONE</x:v>
      </x:c>
      <x:c r="Q112" s="101"/>
      <x:c r="R112" s="102"/>
    </x:row>
    <x:row r="113">
      <x:c r="A113" s="97" t="n">
        <x:v>10</x:v>
      </x:c>
      <x:c r="B113" s="98" t="str">
        <x:v>C</x:v>
      </x:c>
      <x:c r="C113" s="97" t="n">
        <x:v>2</x:v>
      </x:c>
      <x:c r="D113" s="96" t="str">
        <x:f>IF(OR(A113="",B113="",E113=""),"","R"&amp;TEXT(A113,"00")&amp;"-"&amp;B113&amp;"-"&amp;LEFT(E113,1)&amp;IF(COUNTIFS($A$2:A113,A113,$B$2:B113,B113,$E$2:E113,E113)&gt;1,"-"&amp;COUNTIFS($A$2:A113,A113,$B$2:B113,B113,$E$2:E113,E113),""))</x:f>
        <x:v>R10-C-S</x:v>
      </x:c>
      <x:c r="E113" s="99" t="str">
        <x:v>Small</x:v>
      </x:c>
      <x:c r="F113" s="99"/>
      <x:c r="G113" s="99"/>
      <x:c r="H113" s="99"/>
      <x:c r="I113" s="100" t="n">
        <x:v>0</x:v>
      </x:c>
      <x:c r="J113" s="99" t="str">
        <x:v>N/A</x:v>
      </x:c>
      <x:c r="K113" s="99" t="str">
        <x:v>N/A</x:v>
      </x:c>
      <x:c r="L113" s="99" t="str">
        <x:v>N/A</x:v>
      </x:c>
      <x:c r="M113" s="99" t="str">
        <x:v>N/A</x:v>
      </x:c>
      <x:c r="N113" s="99" t="str">
        <x:v>N/A</x:v>
      </x:c>
      <x:c r="O113" s="96" t="str">
        <x:f>IF(E113="","",IF(E113="Small",IF(OR(F113="",G113="",H113=""),"",IF(AND(F113="Yes",G113="Small",H113="Skip"),"Yes","No")),IF(OR(E113="Normal",E113="Large"),IF(OR(F113="",G113="",H113="",K113="",L113="",M113="",N113=""),"",IF(AND(F113="Yes",G113=E113,H113="Pick",K113="Yes",L113="No",M113=IF(E113="Normal","Normal_Bin","Large_Bin"),N113="Yes"),"Yes","No")),"")))</x:f>
      </x:c>
      <x:c r="P113" s="99" t="str">
        <x:v>NONE</x:v>
      </x:c>
      <x:c r="Q113" s="101"/>
      <x:c r="R113" s="102"/>
    </x:row>
    <x:row r="114">
      <x:c r="A114" s="97" t="n">
        <x:v>10</x:v>
      </x:c>
      <x:c r="B114" s="98" t="str">
        <x:v>C</x:v>
      </x:c>
      <x:c r="C114" s="97" t="n">
        <x:v>2</x:v>
      </x:c>
      <x:c r="D114" s="96" t="str">
        <x:f>IF(OR(A114="",B114="",E114=""),"","R"&amp;TEXT(A114,"00")&amp;"-"&amp;B114&amp;"-"&amp;LEFT(E114,1)&amp;IF(COUNTIFS($A$2:A114,A114,$B$2:B114,B114,$E$2:E114,E114)&gt;1,"-"&amp;COUNTIFS($A$2:A114,A114,$B$2:B114,B114,$E$2:E114,E114),""))</x:f>
        <x:v>R10-C-N</x:v>
      </x:c>
      <x:c r="E114" s="99" t="str">
        <x:v>Normal</x:v>
      </x:c>
      <x:c r="F114" s="99"/>
      <x:c r="G114" s="99"/>
      <x:c r="H114" s="99"/>
      <x:c r="I114" s="100"/>
      <x:c r="J114" s="99"/>
      <x:c r="K114" s="99"/>
      <x:c r="L114" s="99"/>
      <x:c r="M114" s="99"/>
      <x:c r="N114" s="99"/>
      <x:c r="O114" s="96" t="str">
        <x:f>IF(E114="","",IF(E114="Small",IF(OR(F114="",G114="",H114=""),"",IF(AND(F114="Yes",G114="Small",H114="Skip"),"Yes","No")),IF(OR(E114="Normal",E114="Large"),IF(OR(F114="",G114="",H114="",K114="",L114="",M114="",N114=""),"",IF(AND(F114="Yes",G114=E114,H114="Pick",K114="Yes",L114="No",M114=IF(E114="Normal","Normal_Bin","Large_Bin"),N114="Yes"),"Yes","No")),"")))</x:f>
      </x:c>
      <x:c r="P114" s="99" t="str">
        <x:v>NONE</x:v>
      </x:c>
      <x:c r="Q114" s="101"/>
      <x:c r="R114" s="102"/>
    </x:row>
    <x:row r="115">
      <x:c r="A115" s="97" t="n">
        <x:v>10</x:v>
      </x:c>
      <x:c r="B115" s="98" t="str">
        <x:v>C</x:v>
      </x:c>
      <x:c r="C115" s="97" t="n">
        <x:v>2</x:v>
      </x:c>
      <x:c r="D115" s="96" t="str">
        <x:f>IF(OR(A115="",B115="",E115=""),"","R"&amp;TEXT(A115,"00")&amp;"-"&amp;B115&amp;"-"&amp;LEFT(E115,1)&amp;IF(COUNTIFS($A$2:A115,A115,$B$2:B115,B115,$E$2:E115,E115)&gt;1,"-"&amp;COUNTIFS($A$2:A115,A115,$B$2:B115,B115,$E$2:E115,E115),""))</x:f>
        <x:v>R10-C-L</x:v>
      </x:c>
      <x:c r="E115" s="99" t="str">
        <x:v>Large</x:v>
      </x:c>
      <x:c r="F115" s="99"/>
      <x:c r="G115" s="99"/>
      <x:c r="H115" s="99"/>
      <x:c r="I115" s="100"/>
      <x:c r="J115" s="99"/>
      <x:c r="K115" s="99"/>
      <x:c r="L115" s="99"/>
      <x:c r="M115" s="99"/>
      <x:c r="N115" s="99"/>
      <x:c r="O115" s="96" t="str">
        <x:f>IF(E115="","",IF(E115="Small",IF(OR(F115="",G115="",H115=""),"",IF(AND(F115="Yes",G115="Small",H115="Skip"),"Yes","No")),IF(OR(E115="Normal",E115="Large"),IF(OR(F115="",G115="",H115="",K115="",L115="",M115="",N115=""),"",IF(AND(F115="Yes",G115=E115,H115="Pick",K115="Yes",L115="No",M115=IF(E115="Normal","Normal_Bin","Large_Bin"),N115="Yes"),"Yes","No")),"")))</x:f>
      </x:c>
      <x:c r="P115" s="99" t="str">
        <x:v>NONE</x:v>
      </x:c>
      <x:c r="Q115" s="101"/>
      <x:c r="R115" s="102"/>
    </x:row>
    <x:row r="116">
      <x:c r="A116" s="97" t="n">
        <x:v>10</x:v>
      </x:c>
      <x:c r="B116" s="98" t="str">
        <x:v>D</x:v>
      </x:c>
      <x:c r="C116" s="97" t="n">
        <x:v>3</x:v>
      </x:c>
      <x:c r="D116" s="96" t="str">
        <x:f>IF(OR(A116="",B116="",E116=""),"","R"&amp;TEXT(A116,"00")&amp;"-"&amp;B116&amp;"-"&amp;LEFT(E116,1)&amp;IF(COUNTIFS($A$2:A116,A116,$B$2:B116,B116,$E$2:E116,E116)&gt;1,"-"&amp;COUNTIFS($A$2:A116,A116,$B$2:B116,B116,$E$2:E116,E116),""))</x:f>
        <x:v>R10-D-S</x:v>
      </x:c>
      <x:c r="E116" s="99" t="str">
        <x:v>Small</x:v>
      </x:c>
      <x:c r="F116" s="99"/>
      <x:c r="G116" s="99"/>
      <x:c r="H116" s="99"/>
      <x:c r="I116" s="100" t="n">
        <x:v>0</x:v>
      </x:c>
      <x:c r="J116" s="99" t="str">
        <x:v>N/A</x:v>
      </x:c>
      <x:c r="K116" s="99" t="str">
        <x:v>N/A</x:v>
      </x:c>
      <x:c r="L116" s="99" t="str">
        <x:v>N/A</x:v>
      </x:c>
      <x:c r="M116" s="99" t="str">
        <x:v>N/A</x:v>
      </x:c>
      <x:c r="N116" s="99" t="str">
        <x:v>N/A</x:v>
      </x:c>
      <x:c r="O116" s="96" t="str">
        <x:f>IF(E116="","",IF(E116="Small",IF(OR(F116="",G116="",H116=""),"",IF(AND(F116="Yes",G116="Small",H116="Skip"),"Yes","No")),IF(OR(E116="Normal",E116="Large"),IF(OR(F116="",G116="",H116="",K116="",L116="",M116="",N116=""),"",IF(AND(F116="Yes",G116=E116,H116="Pick",K116="Yes",L116="No",M116=IF(E116="Normal","Normal_Bin","Large_Bin"),N116="Yes"),"Yes","No")),"")))</x:f>
      </x:c>
      <x:c r="P116" s="99" t="str">
        <x:v>NONE</x:v>
      </x:c>
      <x:c r="Q116" s="101"/>
      <x:c r="R116" s="102"/>
    </x:row>
    <x:row r="117">
      <x:c r="A117" s="97" t="n">
        <x:v>10</x:v>
      </x:c>
      <x:c r="B117" s="98" t="str">
        <x:v>D</x:v>
      </x:c>
      <x:c r="C117" s="97" t="n">
        <x:v>3</x:v>
      </x:c>
      <x:c r="D117" s="96" t="str">
        <x:f>IF(OR(A117="",B117="",E117=""),"","R"&amp;TEXT(A117,"00")&amp;"-"&amp;B117&amp;"-"&amp;LEFT(E117,1)&amp;IF(COUNTIFS($A$2:A117,A117,$B$2:B117,B117,$E$2:E117,E117)&gt;1,"-"&amp;COUNTIFS($A$2:A117,A117,$B$2:B117,B117,$E$2:E117,E117),""))</x:f>
        <x:v>R10-D-N</x:v>
      </x:c>
      <x:c r="E117" s="99" t="str">
        <x:v>Normal</x:v>
      </x:c>
      <x:c r="F117" s="99"/>
      <x:c r="G117" s="99"/>
      <x:c r="H117" s="99"/>
      <x:c r="I117" s="100"/>
      <x:c r="J117" s="99"/>
      <x:c r="K117" s="99"/>
      <x:c r="L117" s="99"/>
      <x:c r="M117" s="99"/>
      <x:c r="N117" s="99"/>
      <x:c r="O117" s="96" t="str">
        <x:f>IF(E117="","",IF(E117="Small",IF(OR(F117="",G117="",H117=""),"",IF(AND(F117="Yes",G117="Small",H117="Skip"),"Yes","No")),IF(OR(E117="Normal",E117="Large"),IF(OR(F117="",G117="",H117="",K117="",L117="",M117="",N117=""),"",IF(AND(F117="Yes",G117=E117,H117="Pick",K117="Yes",L117="No",M117=IF(E117="Normal","Normal_Bin","Large_Bin"),N117="Yes"),"Yes","No")),"")))</x:f>
      </x:c>
      <x:c r="P117" s="99" t="str">
        <x:v>NONE</x:v>
      </x:c>
      <x:c r="Q117" s="101"/>
      <x:c r="R117" s="102"/>
    </x:row>
    <x:row r="118">
      <x:c r="A118" s="97" t="n">
        <x:v>10</x:v>
      </x:c>
      <x:c r="B118" s="98" t="str">
        <x:v>D</x:v>
      </x:c>
      <x:c r="C118" s="97" t="n">
        <x:v>3</x:v>
      </x:c>
      <x:c r="D118" s="96" t="str">
        <x:f>IF(OR(A118="",B118="",E118=""),"","R"&amp;TEXT(A118,"00")&amp;"-"&amp;B118&amp;"-"&amp;LEFT(E118,1)&amp;IF(COUNTIFS($A$2:A118,A118,$B$2:B118,B118,$E$2:E118,E118)&gt;1,"-"&amp;COUNTIFS($A$2:A118,A118,$B$2:B118,B118,$E$2:E118,E118),""))</x:f>
        <x:v>R10-D-L</x:v>
      </x:c>
      <x:c r="E118" s="99" t="str">
        <x:v>Large</x:v>
      </x:c>
      <x:c r="F118" s="99"/>
      <x:c r="G118" s="99"/>
      <x:c r="H118" s="99"/>
      <x:c r="I118" s="100"/>
      <x:c r="J118" s="99"/>
      <x:c r="K118" s="99"/>
      <x:c r="L118" s="99"/>
      <x:c r="M118" s="99"/>
      <x:c r="N118" s="99"/>
      <x:c r="O118" s="96" t="str">
        <x:f>IF(E118="","",IF(E118="Small",IF(OR(F118="",G118="",H118=""),"",IF(AND(F118="Yes",G118="Small",H118="Skip"),"Yes","No")),IF(OR(E118="Normal",E118="Large"),IF(OR(F118="",G118="",H118="",K118="",L118="",M118="",N118=""),"",IF(AND(F118="Yes",G118=E118,H118="Pick",K118="Yes",L118="No",M118=IF(E118="Normal","Normal_Bin","Large_Bin"),N118="Yes"),"Yes","No")),"")))</x:f>
      </x:c>
      <x:c r="P118" s="99" t="str">
        <x:v>NONE</x:v>
      </x:c>
      <x:c r="Q118" s="101"/>
      <x:c r="R118" s="102"/>
    </x:row>
    <x:row r="119">
      <x:c r="A119" s="97" t="n">
        <x:v>10</x:v>
      </x:c>
      <x:c r="B119" s="98" t="str">
        <x:v>A</x:v>
      </x:c>
      <x:c r="C119" s="97" t="n">
        <x:v>4</x:v>
      </x:c>
      <x:c r="D119" s="96" t="str">
        <x:f>IF(OR(A119="",B119="",E119=""),"","R"&amp;TEXT(A119,"00")&amp;"-"&amp;B119&amp;"-"&amp;LEFT(E119,1)&amp;IF(COUNTIFS($A$2:A119,A119,$B$2:B119,B119,$E$2:E119,E119)&gt;1,"-"&amp;COUNTIFS($A$2:A119,A119,$B$2:B119,B119,$E$2:E119,E119),""))</x:f>
        <x:v>R10-A-S</x:v>
      </x:c>
      <x:c r="E119" s="99" t="str">
        <x:v>Small</x:v>
      </x:c>
      <x:c r="F119" s="99"/>
      <x:c r="G119" s="99"/>
      <x:c r="H119" s="99"/>
      <x:c r="I119" s="100" t="n">
        <x:v>0</x:v>
      </x:c>
      <x:c r="J119" s="99" t="str">
        <x:v>N/A</x:v>
      </x:c>
      <x:c r="K119" s="99" t="str">
        <x:v>N/A</x:v>
      </x:c>
      <x:c r="L119" s="99" t="str">
        <x:v>N/A</x:v>
      </x:c>
      <x:c r="M119" s="99" t="str">
        <x:v>N/A</x:v>
      </x:c>
      <x:c r="N119" s="99" t="str">
        <x:v>N/A</x:v>
      </x:c>
      <x:c r="O119" s="96" t="str">
        <x:f>IF(E119="","",IF(E119="Small",IF(OR(F119="",G119="",H119=""),"",IF(AND(F119="Yes",G119="Small",H119="Skip"),"Yes","No")),IF(OR(E119="Normal",E119="Large"),IF(OR(F119="",G119="",H119="",K119="",L119="",M119="",N119=""),"",IF(AND(F119="Yes",G119=E119,H119="Pick",K119="Yes",L119="No",M119=IF(E119="Normal","Normal_Bin","Large_Bin"),N119="Yes"),"Yes","No")),"")))</x:f>
      </x:c>
      <x:c r="P119" s="99" t="str">
        <x:v>NONE</x:v>
      </x:c>
      <x:c r="Q119" s="101"/>
      <x:c r="R119" s="102"/>
    </x:row>
    <x:row r="120">
      <x:c r="A120" s="97" t="n">
        <x:v>10</x:v>
      </x:c>
      <x:c r="B120" s="98" t="str">
        <x:v>A</x:v>
      </x:c>
      <x:c r="C120" s="97" t="n">
        <x:v>4</x:v>
      </x:c>
      <x:c r="D120" s="96" t="str">
        <x:f>IF(OR(A120="",B120="",E120=""),"","R"&amp;TEXT(A120,"00")&amp;"-"&amp;B120&amp;"-"&amp;LEFT(E120,1)&amp;IF(COUNTIFS($A$2:A120,A120,$B$2:B120,B120,$E$2:E120,E120)&gt;1,"-"&amp;COUNTIFS($A$2:A120,A120,$B$2:B120,B120,$E$2:E120,E120),""))</x:f>
        <x:v>R10-A-N</x:v>
      </x:c>
      <x:c r="E120" s="99" t="str">
        <x:v>Normal</x:v>
      </x:c>
      <x:c r="F120" s="99"/>
      <x:c r="G120" s="99"/>
      <x:c r="H120" s="99"/>
      <x:c r="I120" s="100"/>
      <x:c r="J120" s="99"/>
      <x:c r="K120" s="99"/>
      <x:c r="L120" s="99"/>
      <x:c r="M120" s="99"/>
      <x:c r="N120" s="99"/>
      <x:c r="O120" s="96" t="str">
        <x:f>IF(E120="","",IF(E120="Small",IF(OR(F120="",G120="",H120=""),"",IF(AND(F120="Yes",G120="Small",H120="Skip"),"Yes","No")),IF(OR(E120="Normal",E120="Large"),IF(OR(F120="",G120="",H120="",K120="",L120="",M120="",N120=""),"",IF(AND(F120="Yes",G120=E120,H120="Pick",K120="Yes",L120="No",M120=IF(E120="Normal","Normal_Bin","Large_Bin"),N120="Yes"),"Yes","No")),"")))</x:f>
      </x:c>
      <x:c r="P120" s="99" t="str">
        <x:v>NONE</x:v>
      </x:c>
      <x:c r="Q120" s="101"/>
      <x:c r="R120" s="102"/>
    </x:row>
    <x:row r="121">
      <x:c r="A121" s="97" t="n">
        <x:v>10</x:v>
      </x:c>
      <x:c r="B121" s="98" t="str">
        <x:v>A</x:v>
      </x:c>
      <x:c r="C121" s="97" t="n">
        <x:v>4</x:v>
      </x:c>
      <x:c r="D121" s="96" t="str">
        <x:f>IF(OR(A121="",B121="",E121=""),"","R"&amp;TEXT(A121,"00")&amp;"-"&amp;B121&amp;"-"&amp;LEFT(E121,1)&amp;IF(COUNTIFS($A$2:A121,A121,$B$2:B121,B121,$E$2:E121,E121)&gt;1,"-"&amp;COUNTIFS($A$2:A121,A121,$B$2:B121,B121,$E$2:E121,E121),""))</x:f>
        <x:v>R10-A-L</x:v>
      </x:c>
      <x:c r="E121" s="99" t="str">
        <x:v>Large</x:v>
      </x:c>
      <x:c r="F121" s="99"/>
      <x:c r="G121" s="99"/>
      <x:c r="H121" s="99"/>
      <x:c r="I121" s="100"/>
      <x:c r="J121" s="99"/>
      <x:c r="K121" s="99"/>
      <x:c r="L121" s="99"/>
      <x:c r="M121" s="99"/>
      <x:c r="N121" s="99"/>
      <x:c r="O121" s="96" t="str">
        <x:f>IF(E121="","",IF(E121="Small",IF(OR(F121="",G121="",H121=""),"",IF(AND(F121="Yes",G121="Small",H121="Skip"),"Yes","No")),IF(OR(E121="Normal",E121="Large"),IF(OR(F121="",G121="",H121="",K121="",L121="",M121="",N121=""),"",IF(AND(F121="Yes",G121=E121,H121="Pick",K121="Yes",L121="No",M121=IF(E121="Normal","Normal_Bin","Large_Bin"),N121="Yes"),"Yes","No")),"")))</x:f>
      </x:c>
      <x:c r="P121" s="99" t="str">
        <x:v>NONE</x:v>
      </x:c>
      <x:c r="Q121" s="101"/>
      <x:c r="R121" s="102"/>
    </x:row>
    <x:row r="122">
      <x:c r="A122" s="97" t="n">
        <x:v>11</x:v>
      </x:c>
      <x:c r="B122" s="98" t="str">
        <x:v>C</x:v>
      </x:c>
      <x:c r="C122" s="97" t="n">
        <x:v>1</x:v>
      </x:c>
      <x:c r="D122" s="96" t="str">
        <x:f>IF(OR(A122="",B122="",E122=""),"","R"&amp;TEXT(A122,"00")&amp;"-"&amp;B122&amp;"-"&amp;LEFT(E122,1)&amp;IF(COUNTIFS($A$2:A122,A122,$B$2:B122,B122,$E$2:E122,E122)&gt;1,"-"&amp;COUNTIFS($A$2:A122,A122,$B$2:B122,B122,$E$2:E122,E122),""))</x:f>
        <x:v>R11-C-S</x:v>
      </x:c>
      <x:c r="E122" s="99" t="str">
        <x:v>Small</x:v>
      </x:c>
      <x:c r="F122" s="99"/>
      <x:c r="G122" s="99"/>
      <x:c r="H122" s="99"/>
      <x:c r="I122" s="100" t="n">
        <x:v>0</x:v>
      </x:c>
      <x:c r="J122" s="99" t="str">
        <x:v>N/A</x:v>
      </x:c>
      <x:c r="K122" s="99" t="str">
        <x:v>N/A</x:v>
      </x:c>
      <x:c r="L122" s="99" t="str">
        <x:v>N/A</x:v>
      </x:c>
      <x:c r="M122" s="99" t="str">
        <x:v>N/A</x:v>
      </x:c>
      <x:c r="N122" s="99" t="str">
        <x:v>N/A</x:v>
      </x:c>
      <x:c r="O122" s="96" t="str">
        <x:f>IF(E122="","",IF(E122="Small",IF(OR(F122="",G122="",H122=""),"",IF(AND(F122="Yes",G122="Small",H122="Skip"),"Yes","No")),IF(OR(E122="Normal",E122="Large"),IF(OR(F122="",G122="",H122="",K122="",L122="",M122="",N122=""),"",IF(AND(F122="Yes",G122=E122,H122="Pick",K122="Yes",L122="No",M122=IF(E122="Normal","Normal_Bin","Large_Bin"),N122="Yes"),"Yes","No")),"")))</x:f>
      </x:c>
      <x:c r="P122" s="99" t="str">
        <x:v>NONE</x:v>
      </x:c>
      <x:c r="Q122" s="101"/>
      <x:c r="R122" s="102"/>
    </x:row>
    <x:row r="123">
      <x:c r="A123" s="97" t="n">
        <x:v>11</x:v>
      </x:c>
      <x:c r="B123" s="98" t="str">
        <x:v>C</x:v>
      </x:c>
      <x:c r="C123" s="97" t="n">
        <x:v>1</x:v>
      </x:c>
      <x:c r="D123" s="96" t="str">
        <x:f>IF(OR(A123="",B123="",E123=""),"","R"&amp;TEXT(A123,"00")&amp;"-"&amp;B123&amp;"-"&amp;LEFT(E123,1)&amp;IF(COUNTIFS($A$2:A123,A123,$B$2:B123,B123,$E$2:E123,E123)&gt;1,"-"&amp;COUNTIFS($A$2:A123,A123,$B$2:B123,B123,$E$2:E123,E123),""))</x:f>
        <x:v>R11-C-N</x:v>
      </x:c>
      <x:c r="E123" s="99" t="str">
        <x:v>Normal</x:v>
      </x:c>
      <x:c r="F123" s="99"/>
      <x:c r="G123" s="99"/>
      <x:c r="H123" s="99"/>
      <x:c r="I123" s="100"/>
      <x:c r="J123" s="99"/>
      <x:c r="K123" s="99"/>
      <x:c r="L123" s="99"/>
      <x:c r="M123" s="99"/>
      <x:c r="N123" s="99"/>
      <x:c r="O123" s="96" t="str">
        <x:f>IF(E123="","",IF(E123="Small",IF(OR(F123="",G123="",H123=""),"",IF(AND(F123="Yes",G123="Small",H123="Skip"),"Yes","No")),IF(OR(E123="Normal",E123="Large"),IF(OR(F123="",G123="",H123="",K123="",L123="",M123="",N123=""),"",IF(AND(F123="Yes",G123=E123,H123="Pick",K123="Yes",L123="No",M123=IF(E123="Normal","Normal_Bin","Large_Bin"),N123="Yes"),"Yes","No")),"")))</x:f>
      </x:c>
      <x:c r="P123" s="99" t="str">
        <x:v>NONE</x:v>
      </x:c>
      <x:c r="Q123" s="101"/>
      <x:c r="R123" s="102"/>
    </x:row>
    <x:row r="124">
      <x:c r="A124" s="97" t="n">
        <x:v>11</x:v>
      </x:c>
      <x:c r="B124" s="98" t="str">
        <x:v>C</x:v>
      </x:c>
      <x:c r="C124" s="97" t="n">
        <x:v>1</x:v>
      </x:c>
      <x:c r="D124" s="96" t="str">
        <x:f>IF(OR(A124="",B124="",E124=""),"","R"&amp;TEXT(A124,"00")&amp;"-"&amp;B124&amp;"-"&amp;LEFT(E124,1)&amp;IF(COUNTIFS($A$2:A124,A124,$B$2:B124,B124,$E$2:E124,E124)&gt;1,"-"&amp;COUNTIFS($A$2:A124,A124,$B$2:B124,B124,$E$2:E124,E124),""))</x:f>
        <x:v>R11-C-L</x:v>
      </x:c>
      <x:c r="E124" s="99" t="str">
        <x:v>Large</x:v>
      </x:c>
      <x:c r="F124" s="99"/>
      <x:c r="G124" s="99"/>
      <x:c r="H124" s="99"/>
      <x:c r="I124" s="100"/>
      <x:c r="J124" s="99"/>
      <x:c r="K124" s="99"/>
      <x:c r="L124" s="99"/>
      <x:c r="M124" s="99"/>
      <x:c r="N124" s="99"/>
      <x:c r="O124" s="96" t="str">
        <x:f>IF(E124="","",IF(E124="Small",IF(OR(F124="",G124="",H124=""),"",IF(AND(F124="Yes",G124="Small",H124="Skip"),"Yes","No")),IF(OR(E124="Normal",E124="Large"),IF(OR(F124="",G124="",H124="",K124="",L124="",M124="",N124=""),"",IF(AND(F124="Yes",G124=E124,H124="Pick",K124="Yes",L124="No",M124=IF(E124="Normal","Normal_Bin","Large_Bin"),N124="Yes"),"Yes","No")),"")))</x:f>
      </x:c>
      <x:c r="P124" s="99" t="str">
        <x:v>NONE</x:v>
      </x:c>
      <x:c r="Q124" s="101"/>
      <x:c r="R124" s="102"/>
    </x:row>
    <x:row r="125">
      <x:c r="A125" s="97" t="n">
        <x:v>11</x:v>
      </x:c>
      <x:c r="B125" s="98" t="str">
        <x:v>D</x:v>
      </x:c>
      <x:c r="C125" s="97" t="n">
        <x:v>2</x:v>
      </x:c>
      <x:c r="D125" s="96" t="str">
        <x:f>IF(OR(A125="",B125="",E125=""),"","R"&amp;TEXT(A125,"00")&amp;"-"&amp;B125&amp;"-"&amp;LEFT(E125,1)&amp;IF(COUNTIFS($A$2:A125,A125,$B$2:B125,B125,$E$2:E125,E125)&gt;1,"-"&amp;COUNTIFS($A$2:A125,A125,$B$2:B125,B125,$E$2:E125,E125),""))</x:f>
        <x:v>R11-D-S</x:v>
      </x:c>
      <x:c r="E125" s="99" t="str">
        <x:v>Small</x:v>
      </x:c>
      <x:c r="F125" s="99"/>
      <x:c r="G125" s="99"/>
      <x:c r="H125" s="99"/>
      <x:c r="I125" s="100" t="n">
        <x:v>0</x:v>
      </x:c>
      <x:c r="J125" s="99" t="str">
        <x:v>N/A</x:v>
      </x:c>
      <x:c r="K125" s="99" t="str">
        <x:v>N/A</x:v>
      </x:c>
      <x:c r="L125" s="99" t="str">
        <x:v>N/A</x:v>
      </x:c>
      <x:c r="M125" s="99" t="str">
        <x:v>N/A</x:v>
      </x:c>
      <x:c r="N125" s="99" t="str">
        <x:v>N/A</x:v>
      </x:c>
      <x:c r="O125" s="96" t="str">
        <x:f>IF(E125="","",IF(E125="Small",IF(OR(F125="",G125="",H125=""),"",IF(AND(F125="Yes",G125="Small",H125="Skip"),"Yes","No")),IF(OR(E125="Normal",E125="Large"),IF(OR(F125="",G125="",H125="",K125="",L125="",M125="",N125=""),"",IF(AND(F125="Yes",G125=E125,H125="Pick",K125="Yes",L125="No",M125=IF(E125="Normal","Normal_Bin","Large_Bin"),N125="Yes"),"Yes","No")),"")))</x:f>
      </x:c>
      <x:c r="P125" s="99" t="str">
        <x:v>NONE</x:v>
      </x:c>
      <x:c r="Q125" s="101"/>
      <x:c r="R125" s="102"/>
    </x:row>
    <x:row r="126">
      <x:c r="A126" s="97" t="n">
        <x:v>11</x:v>
      </x:c>
      <x:c r="B126" s="98" t="str">
        <x:v>D</x:v>
      </x:c>
      <x:c r="C126" s="97" t="n">
        <x:v>2</x:v>
      </x:c>
      <x:c r="D126" s="96" t="str">
        <x:f>IF(OR(A126="",B126="",E126=""),"","R"&amp;TEXT(A126,"00")&amp;"-"&amp;B126&amp;"-"&amp;LEFT(E126,1)&amp;IF(COUNTIFS($A$2:A126,A126,$B$2:B126,B126,$E$2:E126,E126)&gt;1,"-"&amp;COUNTIFS($A$2:A126,A126,$B$2:B126,B126,$E$2:E126,E126),""))</x:f>
        <x:v>R11-D-N</x:v>
      </x:c>
      <x:c r="E126" s="99" t="str">
        <x:v>Normal</x:v>
      </x:c>
      <x:c r="F126" s="99"/>
      <x:c r="G126" s="99"/>
      <x:c r="H126" s="99"/>
      <x:c r="I126" s="100"/>
      <x:c r="J126" s="99"/>
      <x:c r="K126" s="99"/>
      <x:c r="L126" s="99"/>
      <x:c r="M126" s="99"/>
      <x:c r="N126" s="99"/>
      <x:c r="O126" s="96" t="str">
        <x:f>IF(E126="","",IF(E126="Small",IF(OR(F126="",G126="",H126=""),"",IF(AND(F126="Yes",G126="Small",H126="Skip"),"Yes","No")),IF(OR(E126="Normal",E126="Large"),IF(OR(F126="",G126="",H126="",K126="",L126="",M126="",N126=""),"",IF(AND(F126="Yes",G126=E126,H126="Pick",K126="Yes",L126="No",M126=IF(E126="Normal","Normal_Bin","Large_Bin"),N126="Yes"),"Yes","No")),"")))</x:f>
      </x:c>
      <x:c r="P126" s="99" t="str">
        <x:v>NONE</x:v>
      </x:c>
      <x:c r="Q126" s="101"/>
      <x:c r="R126" s="102"/>
    </x:row>
    <x:row r="127">
      <x:c r="A127" s="97" t="n">
        <x:v>11</x:v>
      </x:c>
      <x:c r="B127" s="98" t="str">
        <x:v>D</x:v>
      </x:c>
      <x:c r="C127" s="97" t="n">
        <x:v>2</x:v>
      </x:c>
      <x:c r="D127" s="96" t="str">
        <x:f>IF(OR(A127="",B127="",E127=""),"","R"&amp;TEXT(A127,"00")&amp;"-"&amp;B127&amp;"-"&amp;LEFT(E127,1)&amp;IF(COUNTIFS($A$2:A127,A127,$B$2:B127,B127,$E$2:E127,E127)&gt;1,"-"&amp;COUNTIFS($A$2:A127,A127,$B$2:B127,B127,$E$2:E127,E127),""))</x:f>
        <x:v>R11-D-L</x:v>
      </x:c>
      <x:c r="E127" s="99" t="str">
        <x:v>Large</x:v>
      </x:c>
      <x:c r="F127" s="99"/>
      <x:c r="G127" s="99"/>
      <x:c r="H127" s="99"/>
      <x:c r="I127" s="100"/>
      <x:c r="J127" s="99"/>
      <x:c r="K127" s="99"/>
      <x:c r="L127" s="99"/>
      <x:c r="M127" s="99"/>
      <x:c r="N127" s="99"/>
      <x:c r="O127" s="96" t="str">
        <x:f>IF(E127="","",IF(E127="Small",IF(OR(F127="",G127="",H127=""),"",IF(AND(F127="Yes",G127="Small",H127="Skip"),"Yes","No")),IF(OR(E127="Normal",E127="Large"),IF(OR(F127="",G127="",H127="",K127="",L127="",M127="",N127=""),"",IF(AND(F127="Yes",G127=E127,H127="Pick",K127="Yes",L127="No",M127=IF(E127="Normal","Normal_Bin","Large_Bin"),N127="Yes"),"Yes","No")),"")))</x:f>
      </x:c>
      <x:c r="P127" s="99" t="str">
        <x:v>NONE</x:v>
      </x:c>
      <x:c r="Q127" s="101"/>
      <x:c r="R127" s="102"/>
    </x:row>
    <x:row r="128">
      <x:c r="A128" s="97" t="n">
        <x:v>11</x:v>
      </x:c>
      <x:c r="B128" s="98" t="str">
        <x:v>A</x:v>
      </x:c>
      <x:c r="C128" s="97" t="n">
        <x:v>3</x:v>
      </x:c>
      <x:c r="D128" s="96" t="str">
        <x:f>IF(OR(A128="",B128="",E128=""),"","R"&amp;TEXT(A128,"00")&amp;"-"&amp;B128&amp;"-"&amp;LEFT(E128,1)&amp;IF(COUNTIFS($A$2:A128,A128,$B$2:B128,B128,$E$2:E128,E128)&gt;1,"-"&amp;COUNTIFS($A$2:A128,A128,$B$2:B128,B128,$E$2:E128,E128),""))</x:f>
        <x:v>R11-A-S</x:v>
      </x:c>
      <x:c r="E128" s="99" t="str">
        <x:v>Small</x:v>
      </x:c>
      <x:c r="F128" s="99"/>
      <x:c r="G128" s="99"/>
      <x:c r="H128" s="99"/>
      <x:c r="I128" s="100" t="n">
        <x:v>0</x:v>
      </x:c>
      <x:c r="J128" s="99" t="str">
        <x:v>N/A</x:v>
      </x:c>
      <x:c r="K128" s="99" t="str">
        <x:v>N/A</x:v>
      </x:c>
      <x:c r="L128" s="99" t="str">
        <x:v>N/A</x:v>
      </x:c>
      <x:c r="M128" s="99" t="str">
        <x:v>N/A</x:v>
      </x:c>
      <x:c r="N128" s="99" t="str">
        <x:v>N/A</x:v>
      </x:c>
      <x:c r="O128" s="96" t="str">
        <x:f>IF(E128="","",IF(E128="Small",IF(OR(F128="",G128="",H128=""),"",IF(AND(F128="Yes",G128="Small",H128="Skip"),"Yes","No")),IF(OR(E128="Normal",E128="Large"),IF(OR(F128="",G128="",H128="",K128="",L128="",M128="",N128=""),"",IF(AND(F128="Yes",G128=E128,H128="Pick",K128="Yes",L128="No",M128=IF(E128="Normal","Normal_Bin","Large_Bin"),N128="Yes"),"Yes","No")),"")))</x:f>
      </x:c>
      <x:c r="P128" s="99" t="str">
        <x:v>NONE</x:v>
      </x:c>
      <x:c r="Q128" s="101"/>
      <x:c r="R128" s="102"/>
    </x:row>
    <x:row r="129">
      <x:c r="A129" s="97" t="n">
        <x:v>11</x:v>
      </x:c>
      <x:c r="B129" s="98" t="str">
        <x:v>A</x:v>
      </x:c>
      <x:c r="C129" s="97" t="n">
        <x:v>3</x:v>
      </x:c>
      <x:c r="D129" s="96" t="str">
        <x:f>IF(OR(A129="",B129="",E129=""),"","R"&amp;TEXT(A129,"00")&amp;"-"&amp;B129&amp;"-"&amp;LEFT(E129,1)&amp;IF(COUNTIFS($A$2:A129,A129,$B$2:B129,B129,$E$2:E129,E129)&gt;1,"-"&amp;COUNTIFS($A$2:A129,A129,$B$2:B129,B129,$E$2:E129,E129),""))</x:f>
        <x:v>R11-A-N</x:v>
      </x:c>
      <x:c r="E129" s="99" t="str">
        <x:v>Normal</x:v>
      </x:c>
      <x:c r="F129" s="99"/>
      <x:c r="G129" s="99"/>
      <x:c r="H129" s="99"/>
      <x:c r="I129" s="100"/>
      <x:c r="J129" s="99"/>
      <x:c r="K129" s="99"/>
      <x:c r="L129" s="99"/>
      <x:c r="M129" s="99"/>
      <x:c r="N129" s="99"/>
      <x:c r="O129" s="96" t="str">
        <x:f>IF(E129="","",IF(E129="Small",IF(OR(F129="",G129="",H129=""),"",IF(AND(F129="Yes",G129="Small",H129="Skip"),"Yes","No")),IF(OR(E129="Normal",E129="Large"),IF(OR(F129="",G129="",H129="",K129="",L129="",M129="",N129=""),"",IF(AND(F129="Yes",G129=E129,H129="Pick",K129="Yes",L129="No",M129=IF(E129="Normal","Normal_Bin","Large_Bin"),N129="Yes"),"Yes","No")),"")))</x:f>
      </x:c>
      <x:c r="P129" s="99" t="str">
        <x:v>NONE</x:v>
      </x:c>
      <x:c r="Q129" s="101"/>
      <x:c r="R129" s="102"/>
    </x:row>
    <x:row r="130">
      <x:c r="A130" s="97" t="n">
        <x:v>11</x:v>
      </x:c>
      <x:c r="B130" s="98" t="str">
        <x:v>A</x:v>
      </x:c>
      <x:c r="C130" s="97" t="n">
        <x:v>3</x:v>
      </x:c>
      <x:c r="D130" s="96" t="str">
        <x:f>IF(OR(A130="",B130="",E130=""),"","R"&amp;TEXT(A130,"00")&amp;"-"&amp;B130&amp;"-"&amp;LEFT(E130,1)&amp;IF(COUNTIFS($A$2:A130,A130,$B$2:B130,B130,$E$2:E130,E130)&gt;1,"-"&amp;COUNTIFS($A$2:A130,A130,$B$2:B130,B130,$E$2:E130,E130),""))</x:f>
        <x:v>R11-A-L</x:v>
      </x:c>
      <x:c r="E130" s="99" t="str">
        <x:v>Large</x:v>
      </x:c>
      <x:c r="F130" s="99"/>
      <x:c r="G130" s="99"/>
      <x:c r="H130" s="99"/>
      <x:c r="I130" s="100"/>
      <x:c r="J130" s="99"/>
      <x:c r="K130" s="99"/>
      <x:c r="L130" s="99"/>
      <x:c r="M130" s="99"/>
      <x:c r="N130" s="99"/>
      <x:c r="O130" s="96" t="str">
        <x:f>IF(E130="","",IF(E130="Small",IF(OR(F130="",G130="",H130=""),"",IF(AND(F130="Yes",G130="Small",H130="Skip"),"Yes","No")),IF(OR(E130="Normal",E130="Large"),IF(OR(F130="",G130="",H130="",K130="",L130="",M130="",N130=""),"",IF(AND(F130="Yes",G130=E130,H130="Pick",K130="Yes",L130="No",M130=IF(E130="Normal","Normal_Bin","Large_Bin"),N130="Yes"),"Yes","No")),"")))</x:f>
      </x:c>
      <x:c r="P130" s="99" t="str">
        <x:v>NONE</x:v>
      </x:c>
      <x:c r="Q130" s="101"/>
      <x:c r="R130" s="102"/>
    </x:row>
    <x:row r="131">
      <x:c r="A131" s="97" t="n">
        <x:v>11</x:v>
      </x:c>
      <x:c r="B131" s="98" t="str">
        <x:v>B</x:v>
      </x:c>
      <x:c r="C131" s="97" t="n">
        <x:v>4</x:v>
      </x:c>
      <x:c r="D131" s="96" t="str">
        <x:f>IF(OR(A131="",B131="",E131=""),"","R"&amp;TEXT(A131,"00")&amp;"-"&amp;B131&amp;"-"&amp;LEFT(E131,1)&amp;IF(COUNTIFS($A$2:A131,A131,$B$2:B131,B131,$E$2:E131,E131)&gt;1,"-"&amp;COUNTIFS($A$2:A131,A131,$B$2:B131,B131,$E$2:E131,E131),""))</x:f>
        <x:v>R11-B-S</x:v>
      </x:c>
      <x:c r="E131" s="99" t="str">
        <x:v>Small</x:v>
      </x:c>
      <x:c r="F131" s="99"/>
      <x:c r="G131" s="99"/>
      <x:c r="H131" s="99"/>
      <x:c r="I131" s="100" t="n">
        <x:v>0</x:v>
      </x:c>
      <x:c r="J131" s="99" t="str">
        <x:v>N/A</x:v>
      </x:c>
      <x:c r="K131" s="99" t="str">
        <x:v>N/A</x:v>
      </x:c>
      <x:c r="L131" s="99" t="str">
        <x:v>N/A</x:v>
      </x:c>
      <x:c r="M131" s="99" t="str">
        <x:v>N/A</x:v>
      </x:c>
      <x:c r="N131" s="99" t="str">
        <x:v>N/A</x:v>
      </x:c>
      <x:c r="O131" s="96" t="str">
        <x:f>IF(E131="","",IF(E131="Small",IF(OR(F131="",G131="",H131=""),"",IF(AND(F131="Yes",G131="Small",H131="Skip"),"Yes","No")),IF(OR(E131="Normal",E131="Large"),IF(OR(F131="",G131="",H131="",K131="",L131="",M131="",N131=""),"",IF(AND(F131="Yes",G131=E131,H131="Pick",K131="Yes",L131="No",M131=IF(E131="Normal","Normal_Bin","Large_Bin"),N131="Yes"),"Yes","No")),"")))</x:f>
      </x:c>
      <x:c r="P131" s="99" t="str">
        <x:v>NONE</x:v>
      </x:c>
      <x:c r="Q131" s="101"/>
      <x:c r="R131" s="102"/>
    </x:row>
    <x:row r="132">
      <x:c r="A132" s="97" t="n">
        <x:v>11</x:v>
      </x:c>
      <x:c r="B132" s="98" t="str">
        <x:v>B</x:v>
      </x:c>
      <x:c r="C132" s="97" t="n">
        <x:v>4</x:v>
      </x:c>
      <x:c r="D132" s="96" t="str">
        <x:f>IF(OR(A132="",B132="",E132=""),"","R"&amp;TEXT(A132,"00")&amp;"-"&amp;B132&amp;"-"&amp;LEFT(E132,1)&amp;IF(COUNTIFS($A$2:A132,A132,$B$2:B132,B132,$E$2:E132,E132)&gt;1,"-"&amp;COUNTIFS($A$2:A132,A132,$B$2:B132,B132,$E$2:E132,E132),""))</x:f>
        <x:v>R11-B-N</x:v>
      </x:c>
      <x:c r="E132" s="99" t="str">
        <x:v>Normal</x:v>
      </x:c>
      <x:c r="F132" s="99"/>
      <x:c r="G132" s="99"/>
      <x:c r="H132" s="99"/>
      <x:c r="I132" s="100"/>
      <x:c r="J132" s="99"/>
      <x:c r="K132" s="99"/>
      <x:c r="L132" s="99"/>
      <x:c r="M132" s="99"/>
      <x:c r="N132" s="99"/>
      <x:c r="O132" s="96" t="str">
        <x:f>IF(E132="","",IF(E132="Small",IF(OR(F132="",G132="",H132=""),"",IF(AND(F132="Yes",G132="Small",H132="Skip"),"Yes","No")),IF(OR(E132="Normal",E132="Large"),IF(OR(F132="",G132="",H132="",K132="",L132="",M132="",N132=""),"",IF(AND(F132="Yes",G132=E132,H132="Pick",K132="Yes",L132="No",M132=IF(E132="Normal","Normal_Bin","Large_Bin"),N132="Yes"),"Yes","No")),"")))</x:f>
      </x:c>
      <x:c r="P132" s="99" t="str">
        <x:v>NONE</x:v>
      </x:c>
      <x:c r="Q132" s="101"/>
      <x:c r="R132" s="102"/>
    </x:row>
    <x:row r="133">
      <x:c r="A133" s="97" t="n">
        <x:v>11</x:v>
      </x:c>
      <x:c r="B133" s="98" t="str">
        <x:v>B</x:v>
      </x:c>
      <x:c r="C133" s="97" t="n">
        <x:v>4</x:v>
      </x:c>
      <x:c r="D133" s="96" t="str">
        <x:f>IF(OR(A133="",B133="",E133=""),"","R"&amp;TEXT(A133,"00")&amp;"-"&amp;B133&amp;"-"&amp;LEFT(E133,1)&amp;IF(COUNTIFS($A$2:A133,A133,$B$2:B133,B133,$E$2:E133,E133)&gt;1,"-"&amp;COUNTIFS($A$2:A133,A133,$B$2:B133,B133,$E$2:E133,E133),""))</x:f>
        <x:v>R11-B-L</x:v>
      </x:c>
      <x:c r="E133" s="99" t="str">
        <x:v>Large</x:v>
      </x:c>
      <x:c r="F133" s="99"/>
      <x:c r="G133" s="99"/>
      <x:c r="H133" s="99"/>
      <x:c r="I133" s="100"/>
      <x:c r="J133" s="99"/>
      <x:c r="K133" s="99"/>
      <x:c r="L133" s="99"/>
      <x:c r="M133" s="99"/>
      <x:c r="N133" s="99"/>
      <x:c r="O133" s="96" t="str">
        <x:f>IF(E133="","",IF(E133="Small",IF(OR(F133="",G133="",H133=""),"",IF(AND(F133="Yes",G133="Small",H133="Skip"),"Yes","No")),IF(OR(E133="Normal",E133="Large"),IF(OR(F133="",G133="",H133="",K133="",L133="",M133="",N133=""),"",IF(AND(F133="Yes",G133=E133,H133="Pick",K133="Yes",L133="No",M133=IF(E133="Normal","Normal_Bin","Large_Bin"),N133="Yes"),"Yes","No")),"")))</x:f>
      </x:c>
      <x:c r="P133" s="99" t="str">
        <x:v>NONE</x:v>
      </x:c>
      <x:c r="Q133" s="101"/>
      <x:c r="R133" s="102"/>
    </x:row>
    <x:row r="134">
      <x:c r="A134" s="97" t="n">
        <x:v>12</x:v>
      </x:c>
      <x:c r="B134" s="98" t="str">
        <x:v>D</x:v>
      </x:c>
      <x:c r="C134" s="97" t="n">
        <x:v>1</x:v>
      </x:c>
      <x:c r="D134" s="96" t="str">
        <x:f>IF(OR(A134="",B134="",E134=""),"","R"&amp;TEXT(A134,"00")&amp;"-"&amp;B134&amp;"-"&amp;LEFT(E134,1)&amp;IF(COUNTIFS($A$2:A134,A134,$B$2:B134,B134,$E$2:E134,E134)&gt;1,"-"&amp;COUNTIFS($A$2:A134,A134,$B$2:B134,B134,$E$2:E134,E134),""))</x:f>
        <x:v>R12-D-S</x:v>
      </x:c>
      <x:c r="E134" s="99" t="str">
        <x:v>Small</x:v>
      </x:c>
      <x:c r="F134" s="99"/>
      <x:c r="G134" s="99"/>
      <x:c r="H134" s="99"/>
      <x:c r="I134" s="100" t="n">
        <x:v>0</x:v>
      </x:c>
      <x:c r="J134" s="99" t="str">
        <x:v>N/A</x:v>
      </x:c>
      <x:c r="K134" s="99" t="str">
        <x:v>N/A</x:v>
      </x:c>
      <x:c r="L134" s="99" t="str">
        <x:v>N/A</x:v>
      </x:c>
      <x:c r="M134" s="99" t="str">
        <x:v>N/A</x:v>
      </x:c>
      <x:c r="N134" s="99" t="str">
        <x:v>N/A</x:v>
      </x:c>
      <x:c r="O134" s="96" t="str">
        <x:f>IF(E134="","",IF(E134="Small",IF(OR(F134="",G134="",H134=""),"",IF(AND(F134="Yes",G134="Small",H134="Skip"),"Yes","No")),IF(OR(E134="Normal",E134="Large"),IF(OR(F134="",G134="",H134="",K134="",L134="",M134="",N134=""),"",IF(AND(F134="Yes",G134=E134,H134="Pick",K134="Yes",L134="No",M134=IF(E134="Normal","Normal_Bin","Large_Bin"),N134="Yes"),"Yes","No")),"")))</x:f>
      </x:c>
      <x:c r="P134" s="99" t="str">
        <x:v>NONE</x:v>
      </x:c>
      <x:c r="Q134" s="101"/>
      <x:c r="R134" s="102"/>
    </x:row>
    <x:row r="135">
      <x:c r="A135" s="97" t="n">
        <x:v>12</x:v>
      </x:c>
      <x:c r="B135" s="98" t="str">
        <x:v>D</x:v>
      </x:c>
      <x:c r="C135" s="97" t="n">
        <x:v>1</x:v>
      </x:c>
      <x:c r="D135" s="96" t="str">
        <x:f>IF(OR(A135="",B135="",E135=""),"","R"&amp;TEXT(A135,"00")&amp;"-"&amp;B135&amp;"-"&amp;LEFT(E135,1)&amp;IF(COUNTIFS($A$2:A135,A135,$B$2:B135,B135,$E$2:E135,E135)&gt;1,"-"&amp;COUNTIFS($A$2:A135,A135,$B$2:B135,B135,$E$2:E135,E135),""))</x:f>
        <x:v>R12-D-N</x:v>
      </x:c>
      <x:c r="E135" s="99" t="str">
        <x:v>Normal</x:v>
      </x:c>
      <x:c r="F135" s="99"/>
      <x:c r="G135" s="99"/>
      <x:c r="H135" s="99"/>
      <x:c r="I135" s="100"/>
      <x:c r="J135" s="99"/>
      <x:c r="K135" s="99"/>
      <x:c r="L135" s="99"/>
      <x:c r="M135" s="99"/>
      <x:c r="N135" s="99"/>
      <x:c r="O135" s="96" t="str">
        <x:f>IF(E135="","",IF(E135="Small",IF(OR(F135="",G135="",H135=""),"",IF(AND(F135="Yes",G135="Small",H135="Skip"),"Yes","No")),IF(OR(E135="Normal",E135="Large"),IF(OR(F135="",G135="",H135="",K135="",L135="",M135="",N135=""),"",IF(AND(F135="Yes",G135=E135,H135="Pick",K135="Yes",L135="No",M135=IF(E135="Normal","Normal_Bin","Large_Bin"),N135="Yes"),"Yes","No")),"")))</x:f>
      </x:c>
      <x:c r="P135" s="99" t="str">
        <x:v>NONE</x:v>
      </x:c>
      <x:c r="Q135" s="101"/>
      <x:c r="R135" s="102"/>
    </x:row>
    <x:row r="136">
      <x:c r="A136" s="97" t="n">
        <x:v>12</x:v>
      </x:c>
      <x:c r="B136" s="98" t="str">
        <x:v>D</x:v>
      </x:c>
      <x:c r="C136" s="97" t="n">
        <x:v>1</x:v>
      </x:c>
      <x:c r="D136" s="96" t="str">
        <x:f>IF(OR(A136="",B136="",E136=""),"","R"&amp;TEXT(A136,"00")&amp;"-"&amp;B136&amp;"-"&amp;LEFT(E136,1)&amp;IF(COUNTIFS($A$2:A136,A136,$B$2:B136,B136,$E$2:E136,E136)&gt;1,"-"&amp;COUNTIFS($A$2:A136,A136,$B$2:B136,B136,$E$2:E136,E136),""))</x:f>
        <x:v>R12-D-L</x:v>
      </x:c>
      <x:c r="E136" s="99" t="str">
        <x:v>Large</x:v>
      </x:c>
      <x:c r="F136" s="99"/>
      <x:c r="G136" s="99"/>
      <x:c r="H136" s="99"/>
      <x:c r="I136" s="100"/>
      <x:c r="J136" s="99"/>
      <x:c r="K136" s="99"/>
      <x:c r="L136" s="99"/>
      <x:c r="M136" s="99"/>
      <x:c r="N136" s="99"/>
      <x:c r="O136" s="96" t="str">
        <x:f>IF(E136="","",IF(E136="Small",IF(OR(F136="",G136="",H136=""),"",IF(AND(F136="Yes",G136="Small",H136="Skip"),"Yes","No")),IF(OR(E136="Normal",E136="Large"),IF(OR(F136="",G136="",H136="",K136="",L136="",M136="",N136=""),"",IF(AND(F136="Yes",G136=E136,H136="Pick",K136="Yes",L136="No",M136=IF(E136="Normal","Normal_Bin","Large_Bin"),N136="Yes"),"Yes","No")),"")))</x:f>
      </x:c>
      <x:c r="P136" s="99" t="str">
        <x:v>NONE</x:v>
      </x:c>
      <x:c r="Q136" s="101"/>
      <x:c r="R136" s="102"/>
    </x:row>
    <x:row r="137">
      <x:c r="A137" s="97" t="n">
        <x:v>12</x:v>
      </x:c>
      <x:c r="B137" s="98" t="str">
        <x:v>A</x:v>
      </x:c>
      <x:c r="C137" s="97" t="n">
        <x:v>2</x:v>
      </x:c>
      <x:c r="D137" s="96" t="str">
        <x:f>IF(OR(A137="",B137="",E137=""),"","R"&amp;TEXT(A137,"00")&amp;"-"&amp;B137&amp;"-"&amp;LEFT(E137,1)&amp;IF(COUNTIFS($A$2:A137,A137,$B$2:B137,B137,$E$2:E137,E137)&gt;1,"-"&amp;COUNTIFS($A$2:A137,A137,$B$2:B137,B137,$E$2:E137,E137),""))</x:f>
        <x:v>R12-A-S</x:v>
      </x:c>
      <x:c r="E137" s="99" t="str">
        <x:v>Small</x:v>
      </x:c>
      <x:c r="F137" s="99"/>
      <x:c r="G137" s="99"/>
      <x:c r="H137" s="99"/>
      <x:c r="I137" s="100" t="n">
        <x:v>0</x:v>
      </x:c>
      <x:c r="J137" s="99" t="str">
        <x:v>N/A</x:v>
      </x:c>
      <x:c r="K137" s="99" t="str">
        <x:v>N/A</x:v>
      </x:c>
      <x:c r="L137" s="99" t="str">
        <x:v>N/A</x:v>
      </x:c>
      <x:c r="M137" s="99" t="str">
        <x:v>N/A</x:v>
      </x:c>
      <x:c r="N137" s="99" t="str">
        <x:v>N/A</x:v>
      </x:c>
      <x:c r="O137" s="96" t="str">
        <x:f>IF(E137="","",IF(E137="Small",IF(OR(F137="",G137="",H137=""),"",IF(AND(F137="Yes",G137="Small",H137="Skip"),"Yes","No")),IF(OR(E137="Normal",E137="Large"),IF(OR(F137="",G137="",H137="",K137="",L137="",M137="",N137=""),"",IF(AND(F137="Yes",G137=E137,H137="Pick",K137="Yes",L137="No",M137=IF(E137="Normal","Normal_Bin","Large_Bin"),N137="Yes"),"Yes","No")),"")))</x:f>
      </x:c>
      <x:c r="P137" s="99" t="str">
        <x:v>NONE</x:v>
      </x:c>
      <x:c r="Q137" s="101"/>
      <x:c r="R137" s="102"/>
    </x:row>
    <x:row r="138">
      <x:c r="A138" s="97" t="n">
        <x:v>12</x:v>
      </x:c>
      <x:c r="B138" s="98" t="str">
        <x:v>A</x:v>
      </x:c>
      <x:c r="C138" s="97" t="n">
        <x:v>2</x:v>
      </x:c>
      <x:c r="D138" s="96" t="str">
        <x:f>IF(OR(A138="",B138="",E138=""),"","R"&amp;TEXT(A138,"00")&amp;"-"&amp;B138&amp;"-"&amp;LEFT(E138,1)&amp;IF(COUNTIFS($A$2:A138,A138,$B$2:B138,B138,$E$2:E138,E138)&gt;1,"-"&amp;COUNTIFS($A$2:A138,A138,$B$2:B138,B138,$E$2:E138,E138),""))</x:f>
        <x:v>R12-A-N</x:v>
      </x:c>
      <x:c r="E138" s="99" t="str">
        <x:v>Normal</x:v>
      </x:c>
      <x:c r="F138" s="99"/>
      <x:c r="G138" s="99"/>
      <x:c r="H138" s="99"/>
      <x:c r="I138" s="100"/>
      <x:c r="J138" s="99"/>
      <x:c r="K138" s="99"/>
      <x:c r="L138" s="99"/>
      <x:c r="M138" s="99"/>
      <x:c r="N138" s="99"/>
      <x:c r="O138" s="96" t="str">
        <x:f>IF(E138="","",IF(E138="Small",IF(OR(F138="",G138="",H138=""),"",IF(AND(F138="Yes",G138="Small",H138="Skip"),"Yes","No")),IF(OR(E138="Normal",E138="Large"),IF(OR(F138="",G138="",H138="",K138="",L138="",M138="",N138=""),"",IF(AND(F138="Yes",G138=E138,H138="Pick",K138="Yes",L138="No",M138=IF(E138="Normal","Normal_Bin","Large_Bin"),N138="Yes"),"Yes","No")),"")))</x:f>
      </x:c>
      <x:c r="P138" s="99" t="str">
        <x:v>NONE</x:v>
      </x:c>
      <x:c r="Q138" s="101"/>
      <x:c r="R138" s="102"/>
    </x:row>
    <x:row r="139">
      <x:c r="A139" s="97" t="n">
        <x:v>12</x:v>
      </x:c>
      <x:c r="B139" s="98" t="str">
        <x:v>A</x:v>
      </x:c>
      <x:c r="C139" s="97" t="n">
        <x:v>2</x:v>
      </x:c>
      <x:c r="D139" s="96" t="str">
        <x:f>IF(OR(A139="",B139="",E139=""),"","R"&amp;TEXT(A139,"00")&amp;"-"&amp;B139&amp;"-"&amp;LEFT(E139,1)&amp;IF(COUNTIFS($A$2:A139,A139,$B$2:B139,B139,$E$2:E139,E139)&gt;1,"-"&amp;COUNTIFS($A$2:A139,A139,$B$2:B139,B139,$E$2:E139,E139),""))</x:f>
        <x:v>R12-A-L</x:v>
      </x:c>
      <x:c r="E139" s="99" t="str">
        <x:v>Large</x:v>
      </x:c>
      <x:c r="F139" s="99"/>
      <x:c r="G139" s="99"/>
      <x:c r="H139" s="99"/>
      <x:c r="I139" s="100"/>
      <x:c r="J139" s="99"/>
      <x:c r="K139" s="99"/>
      <x:c r="L139" s="99"/>
      <x:c r="M139" s="99"/>
      <x:c r="N139" s="99"/>
      <x:c r="O139" s="96" t="str">
        <x:f>IF(E139="","",IF(E139="Small",IF(OR(F139="",G139="",H139=""),"",IF(AND(F139="Yes",G139="Small",H139="Skip"),"Yes","No")),IF(OR(E139="Normal",E139="Large"),IF(OR(F139="",G139="",H139="",K139="",L139="",M139="",N139=""),"",IF(AND(F139="Yes",G139=E139,H139="Pick",K139="Yes",L139="No",M139=IF(E139="Normal","Normal_Bin","Large_Bin"),N139="Yes"),"Yes","No")),"")))</x:f>
      </x:c>
      <x:c r="P139" s="99" t="str">
        <x:v>NONE</x:v>
      </x:c>
      <x:c r="Q139" s="101"/>
      <x:c r="R139" s="102"/>
    </x:row>
    <x:row r="140">
      <x:c r="A140" s="97" t="n">
        <x:v>12</x:v>
      </x:c>
      <x:c r="B140" s="98" t="str">
        <x:v>B</x:v>
      </x:c>
      <x:c r="C140" s="97" t="n">
        <x:v>3</x:v>
      </x:c>
      <x:c r="D140" s="96" t="str">
        <x:f>IF(OR(A140="",B140="",E140=""),"","R"&amp;TEXT(A140,"00")&amp;"-"&amp;B140&amp;"-"&amp;LEFT(E140,1)&amp;IF(COUNTIFS($A$2:A140,A140,$B$2:B140,B140,$E$2:E140,E140)&gt;1,"-"&amp;COUNTIFS($A$2:A140,A140,$B$2:B140,B140,$E$2:E140,E140),""))</x:f>
        <x:v>R12-B-S</x:v>
      </x:c>
      <x:c r="E140" s="99" t="str">
        <x:v>Small</x:v>
      </x:c>
      <x:c r="F140" s="99"/>
      <x:c r="G140" s="99"/>
      <x:c r="H140" s="99"/>
      <x:c r="I140" s="100" t="n">
        <x:v>0</x:v>
      </x:c>
      <x:c r="J140" s="99" t="str">
        <x:v>N/A</x:v>
      </x:c>
      <x:c r="K140" s="99" t="str">
        <x:v>N/A</x:v>
      </x:c>
      <x:c r="L140" s="99" t="str">
        <x:v>N/A</x:v>
      </x:c>
      <x:c r="M140" s="99" t="str">
        <x:v>N/A</x:v>
      </x:c>
      <x:c r="N140" s="99" t="str">
        <x:v>N/A</x:v>
      </x:c>
      <x:c r="O140" s="96" t="str">
        <x:f>IF(E140="","",IF(E140="Small",IF(OR(F140="",G140="",H140=""),"",IF(AND(F140="Yes",G140="Small",H140="Skip"),"Yes","No")),IF(OR(E140="Normal",E140="Large"),IF(OR(F140="",G140="",H140="",K140="",L140="",M140="",N140=""),"",IF(AND(F140="Yes",G140=E140,H140="Pick",K140="Yes",L140="No",M140=IF(E140="Normal","Normal_Bin","Large_Bin"),N140="Yes"),"Yes","No")),"")))</x:f>
      </x:c>
      <x:c r="P140" s="99" t="str">
        <x:v>NONE</x:v>
      </x:c>
      <x:c r="Q140" s="101"/>
      <x:c r="R140" s="102"/>
    </x:row>
    <x:row r="141">
      <x:c r="A141" s="97" t="n">
        <x:v>12</x:v>
      </x:c>
      <x:c r="B141" s="98" t="str">
        <x:v>B</x:v>
      </x:c>
      <x:c r="C141" s="97" t="n">
        <x:v>3</x:v>
      </x:c>
      <x:c r="D141" s="96" t="str">
        <x:f>IF(OR(A141="",B141="",E141=""),"","R"&amp;TEXT(A141,"00")&amp;"-"&amp;B141&amp;"-"&amp;LEFT(E141,1)&amp;IF(COUNTIFS($A$2:A141,A141,$B$2:B141,B141,$E$2:E141,E141)&gt;1,"-"&amp;COUNTIFS($A$2:A141,A141,$B$2:B141,B141,$E$2:E141,E141),""))</x:f>
        <x:v>R12-B-N</x:v>
      </x:c>
      <x:c r="E141" s="99" t="str">
        <x:v>Normal</x:v>
      </x:c>
      <x:c r="F141" s="99"/>
      <x:c r="G141" s="99"/>
      <x:c r="H141" s="99"/>
      <x:c r="I141" s="100"/>
      <x:c r="J141" s="99"/>
      <x:c r="K141" s="99"/>
      <x:c r="L141" s="99"/>
      <x:c r="M141" s="99"/>
      <x:c r="N141" s="99"/>
      <x:c r="O141" s="96" t="str">
        <x:f>IF(E141="","",IF(E141="Small",IF(OR(F141="",G141="",H141=""),"",IF(AND(F141="Yes",G141="Small",H141="Skip"),"Yes","No")),IF(OR(E141="Normal",E141="Large"),IF(OR(F141="",G141="",H141="",K141="",L141="",M141="",N141=""),"",IF(AND(F141="Yes",G141=E141,H141="Pick",K141="Yes",L141="No",M141=IF(E141="Normal","Normal_Bin","Large_Bin"),N141="Yes"),"Yes","No")),"")))</x:f>
      </x:c>
      <x:c r="P141" s="99" t="str">
        <x:v>NONE</x:v>
      </x:c>
      <x:c r="Q141" s="101"/>
      <x:c r="R141" s="102"/>
    </x:row>
    <x:row r="142">
      <x:c r="A142" s="97" t="n">
        <x:v>12</x:v>
      </x:c>
      <x:c r="B142" s="98" t="str">
        <x:v>B</x:v>
      </x:c>
      <x:c r="C142" s="97" t="n">
        <x:v>3</x:v>
      </x:c>
      <x:c r="D142" s="96" t="str">
        <x:f>IF(OR(A142="",B142="",E142=""),"","R"&amp;TEXT(A142,"00")&amp;"-"&amp;B142&amp;"-"&amp;LEFT(E142,1)&amp;IF(COUNTIFS($A$2:A142,A142,$B$2:B142,B142,$E$2:E142,E142)&gt;1,"-"&amp;COUNTIFS($A$2:A142,A142,$B$2:B142,B142,$E$2:E142,E142),""))</x:f>
        <x:v>R12-B-L</x:v>
      </x:c>
      <x:c r="E142" s="99" t="str">
        <x:v>Large</x:v>
      </x:c>
      <x:c r="F142" s="99"/>
      <x:c r="G142" s="99"/>
      <x:c r="H142" s="99"/>
      <x:c r="I142" s="100"/>
      <x:c r="J142" s="99"/>
      <x:c r="K142" s="99"/>
      <x:c r="L142" s="99"/>
      <x:c r="M142" s="99"/>
      <x:c r="N142" s="99"/>
      <x:c r="O142" s="96" t="str">
        <x:f>IF(E142="","",IF(E142="Small",IF(OR(F142="",G142="",H142=""),"",IF(AND(F142="Yes",G142="Small",H142="Skip"),"Yes","No")),IF(OR(E142="Normal",E142="Large"),IF(OR(F142="",G142="",H142="",K142="",L142="",M142="",N142=""),"",IF(AND(F142="Yes",G142=E142,H142="Pick",K142="Yes",L142="No",M142=IF(E142="Normal","Normal_Bin","Large_Bin"),N142="Yes"),"Yes","No")),"")))</x:f>
      </x:c>
      <x:c r="P142" s="99" t="str">
        <x:v>NONE</x:v>
      </x:c>
      <x:c r="Q142" s="101"/>
      <x:c r="R142" s="102"/>
    </x:row>
    <x:row r="143">
      <x:c r="A143" s="97" t="n">
        <x:v>12</x:v>
      </x:c>
      <x:c r="B143" s="98" t="str">
        <x:v>C</x:v>
      </x:c>
      <x:c r="C143" s="97" t="n">
        <x:v>4</x:v>
      </x:c>
      <x:c r="D143" s="96" t="str">
        <x:f>IF(OR(A143="",B143="",E143=""),"","R"&amp;TEXT(A143,"00")&amp;"-"&amp;B143&amp;"-"&amp;LEFT(E143,1)&amp;IF(COUNTIFS($A$2:A143,A143,$B$2:B143,B143,$E$2:E143,E143)&gt;1,"-"&amp;COUNTIFS($A$2:A143,A143,$B$2:B143,B143,$E$2:E143,E143),""))</x:f>
        <x:v>R12-C-S</x:v>
      </x:c>
      <x:c r="E143" s="99" t="str">
        <x:v>Small</x:v>
      </x:c>
      <x:c r="F143" s="99"/>
      <x:c r="G143" s="99"/>
      <x:c r="H143" s="99"/>
      <x:c r="I143" s="100" t="n">
        <x:v>0</x:v>
      </x:c>
      <x:c r="J143" s="99" t="str">
        <x:v>N/A</x:v>
      </x:c>
      <x:c r="K143" s="99" t="str">
        <x:v>N/A</x:v>
      </x:c>
      <x:c r="L143" s="99" t="str">
        <x:v>N/A</x:v>
      </x:c>
      <x:c r="M143" s="99" t="str">
        <x:v>N/A</x:v>
      </x:c>
      <x:c r="N143" s="99" t="str">
        <x:v>N/A</x:v>
      </x:c>
      <x:c r="O143" s="96" t="str">
        <x:f>IF(E143="","",IF(E143="Small",IF(OR(F143="",G143="",H143=""),"",IF(AND(F143="Yes",G143="Small",H143="Skip"),"Yes","No")),IF(OR(E143="Normal",E143="Large"),IF(OR(F143="",G143="",H143="",K143="",L143="",M143="",N143=""),"",IF(AND(F143="Yes",G143=E143,H143="Pick",K143="Yes",L143="No",M143=IF(E143="Normal","Normal_Bin","Large_Bin"),N143="Yes"),"Yes","No")),"")))</x:f>
      </x:c>
      <x:c r="P143" s="99" t="str">
        <x:v>NONE</x:v>
      </x:c>
      <x:c r="Q143" s="101"/>
      <x:c r="R143" s="102"/>
    </x:row>
    <x:row r="144">
      <x:c r="A144" s="97" t="n">
        <x:v>12</x:v>
      </x:c>
      <x:c r="B144" s="98" t="str">
        <x:v>C</x:v>
      </x:c>
      <x:c r="C144" s="97" t="n">
        <x:v>4</x:v>
      </x:c>
      <x:c r="D144" s="96" t="str">
        <x:f>IF(OR(A144="",B144="",E144=""),"","R"&amp;TEXT(A144,"00")&amp;"-"&amp;B144&amp;"-"&amp;LEFT(E144,1)&amp;IF(COUNTIFS($A$2:A144,A144,$B$2:B144,B144,$E$2:E144,E144)&gt;1,"-"&amp;COUNTIFS($A$2:A144,A144,$B$2:B144,B144,$E$2:E144,E144),""))</x:f>
        <x:v>R12-C-N</x:v>
      </x:c>
      <x:c r="E144" s="99" t="str">
        <x:v>Normal</x:v>
      </x:c>
      <x:c r="F144" s="99"/>
      <x:c r="G144" s="99"/>
      <x:c r="H144" s="99"/>
      <x:c r="I144" s="100"/>
      <x:c r="J144" s="99"/>
      <x:c r="K144" s="99"/>
      <x:c r="L144" s="99"/>
      <x:c r="M144" s="99"/>
      <x:c r="N144" s="99"/>
      <x:c r="O144" s="96" t="str">
        <x:f>IF(E144="","",IF(E144="Small",IF(OR(F144="",G144="",H144=""),"",IF(AND(F144="Yes",G144="Small",H144="Skip"),"Yes","No")),IF(OR(E144="Normal",E144="Large"),IF(OR(F144="",G144="",H144="",K144="",L144="",M144="",N144=""),"",IF(AND(F144="Yes",G144=E144,H144="Pick",K144="Yes",L144="No",M144=IF(E144="Normal","Normal_Bin","Large_Bin"),N144="Yes"),"Yes","No")),"")))</x:f>
      </x:c>
      <x:c r="P144" s="99" t="str">
        <x:v>NONE</x:v>
      </x:c>
      <x:c r="Q144" s="101"/>
      <x:c r="R144" s="102"/>
    </x:row>
    <x:row r="145">
      <x:c r="A145" s="97" t="n">
        <x:v>12</x:v>
      </x:c>
      <x:c r="B145" s="98" t="str">
        <x:v>C</x:v>
      </x:c>
      <x:c r="C145" s="97" t="n">
        <x:v>4</x:v>
      </x:c>
      <x:c r="D145" s="96" t="str">
        <x:f>IF(OR(A145="",B145="",E145=""),"","R"&amp;TEXT(A145,"00")&amp;"-"&amp;B145&amp;"-"&amp;LEFT(E145,1)&amp;IF(COUNTIFS($A$2:A145,A145,$B$2:B145,B145,$E$2:E145,E145)&gt;1,"-"&amp;COUNTIFS($A$2:A145,A145,$B$2:B145,B145,$E$2:E145,E145),""))</x:f>
        <x:v>R12-C-L</x:v>
      </x:c>
      <x:c r="E145" s="99" t="str">
        <x:v>Large</x:v>
      </x:c>
      <x:c r="F145" s="99"/>
      <x:c r="G145" s="99"/>
      <x:c r="H145" s="99"/>
      <x:c r="I145" s="100"/>
      <x:c r="J145" s="99"/>
      <x:c r="K145" s="99"/>
      <x:c r="L145" s="99"/>
      <x:c r="M145" s="99"/>
      <x:c r="N145" s="99"/>
      <x:c r="O145" s="96" t="str">
        <x:f>IF(E145="","",IF(E145="Small",IF(OR(F145="",G145="",H145=""),"",IF(AND(F145="Yes",G145="Small",H145="Skip"),"Yes","No")),IF(OR(E145="Normal",E145="Large"),IF(OR(F145="",G145="",H145="",K145="",L145="",M145="",N145=""),"",IF(AND(F145="Yes",G145=E145,H145="Pick",K145="Yes",L145="No",M145=IF(E145="Normal","Normal_Bin","Large_Bin"),N145="Yes"),"Yes","No")),"")))</x:f>
      </x:c>
      <x:c r="P145" s="99" t="str">
        <x:v>NONE</x:v>
      </x:c>
      <x:c r="Q145" s="101"/>
      <x:c r="R145" s="102"/>
    </x:row>
    <x:row r="146">
      <x:c r="A146" s="97" t="n">
        <x:v>13</x:v>
      </x:c>
      <x:c r="B146" s="98" t="str">
        <x:v>A</x:v>
      </x:c>
      <x:c r="C146" s="97" t="n">
        <x:v>1</x:v>
      </x:c>
      <x:c r="D146" s="96" t="str">
        <x:f>IF(OR(A146="",B146="",E146=""),"","R"&amp;TEXT(A146,"00")&amp;"-"&amp;B146&amp;"-"&amp;LEFT(E146,1)&amp;IF(COUNTIFS($A$2:A146,A146,$B$2:B146,B146,$E$2:E146,E146)&gt;1,"-"&amp;COUNTIFS($A$2:A146,A146,$B$2:B146,B146,$E$2:E146,E146),""))</x:f>
        <x:v>R13-A-S</x:v>
      </x:c>
      <x:c r="E146" s="99" t="str">
        <x:v>Small</x:v>
      </x:c>
      <x:c r="F146" s="99"/>
      <x:c r="G146" s="99"/>
      <x:c r="H146" s="99"/>
      <x:c r="I146" s="100" t="n">
        <x:v>0</x:v>
      </x:c>
      <x:c r="J146" s="99" t="str">
        <x:v>N/A</x:v>
      </x:c>
      <x:c r="K146" s="99" t="str">
        <x:v>N/A</x:v>
      </x:c>
      <x:c r="L146" s="99" t="str">
        <x:v>N/A</x:v>
      </x:c>
      <x:c r="M146" s="99" t="str">
        <x:v>N/A</x:v>
      </x:c>
      <x:c r="N146" s="99" t="str">
        <x:v>N/A</x:v>
      </x:c>
      <x:c r="O146" s="96" t="str">
        <x:f>IF(E146="","",IF(E146="Small",IF(OR(F146="",G146="",H146=""),"",IF(AND(F146="Yes",G146="Small",H146="Skip"),"Yes","No")),IF(OR(E146="Normal",E146="Large"),IF(OR(F146="",G146="",H146="",K146="",L146="",M146="",N146=""),"",IF(AND(F146="Yes",G146=E146,H146="Pick",K146="Yes",L146="No",M146=IF(E146="Normal","Normal_Bin","Large_Bin"),N146="Yes"),"Yes","No")),"")))</x:f>
      </x:c>
      <x:c r="P146" s="99" t="str">
        <x:v>NONE</x:v>
      </x:c>
      <x:c r="Q146" s="101"/>
      <x:c r="R146" s="102"/>
    </x:row>
    <x:row r="147">
      <x:c r="A147" s="97" t="n">
        <x:v>13</x:v>
      </x:c>
      <x:c r="B147" s="98" t="str">
        <x:v>A</x:v>
      </x:c>
      <x:c r="C147" s="97" t="n">
        <x:v>1</x:v>
      </x:c>
      <x:c r="D147" s="96" t="str">
        <x:f>IF(OR(A147="",B147="",E147=""),"","R"&amp;TEXT(A147,"00")&amp;"-"&amp;B147&amp;"-"&amp;LEFT(E147,1)&amp;IF(COUNTIFS($A$2:A147,A147,$B$2:B147,B147,$E$2:E147,E147)&gt;1,"-"&amp;COUNTIFS($A$2:A147,A147,$B$2:B147,B147,$E$2:E147,E147),""))</x:f>
        <x:v>R13-A-N</x:v>
      </x:c>
      <x:c r="E147" s="99" t="str">
        <x:v>Normal</x:v>
      </x:c>
      <x:c r="F147" s="99"/>
      <x:c r="G147" s="99"/>
      <x:c r="H147" s="99"/>
      <x:c r="I147" s="100"/>
      <x:c r="J147" s="99"/>
      <x:c r="K147" s="99"/>
      <x:c r="L147" s="99"/>
      <x:c r="M147" s="99"/>
      <x:c r="N147" s="99"/>
      <x:c r="O147" s="96" t="str">
        <x:f>IF(E147="","",IF(E147="Small",IF(OR(F147="",G147="",H147=""),"",IF(AND(F147="Yes",G147="Small",H147="Skip"),"Yes","No")),IF(OR(E147="Normal",E147="Large"),IF(OR(F147="",G147="",H147="",K147="",L147="",M147="",N147=""),"",IF(AND(F147="Yes",G147=E147,H147="Pick",K147="Yes",L147="No",M147=IF(E147="Normal","Normal_Bin","Large_Bin"),N147="Yes"),"Yes","No")),"")))</x:f>
      </x:c>
      <x:c r="P147" s="99" t="str">
        <x:v>NONE</x:v>
      </x:c>
      <x:c r="Q147" s="101"/>
      <x:c r="R147" s="102"/>
    </x:row>
    <x:row r="148">
      <x:c r="A148" s="97" t="n">
        <x:v>13</x:v>
      </x:c>
      <x:c r="B148" s="98" t="str">
        <x:v>A</x:v>
      </x:c>
      <x:c r="C148" s="97" t="n">
        <x:v>1</x:v>
      </x:c>
      <x:c r="D148" s="96" t="str">
        <x:f>IF(OR(A148="",B148="",E148=""),"","R"&amp;TEXT(A148,"00")&amp;"-"&amp;B148&amp;"-"&amp;LEFT(E148,1)&amp;IF(COUNTIFS($A$2:A148,A148,$B$2:B148,B148,$E$2:E148,E148)&gt;1,"-"&amp;COUNTIFS($A$2:A148,A148,$B$2:B148,B148,$E$2:E148,E148),""))</x:f>
        <x:v>R13-A-L</x:v>
      </x:c>
      <x:c r="E148" s="99" t="str">
        <x:v>Large</x:v>
      </x:c>
      <x:c r="F148" s="99"/>
      <x:c r="G148" s="99"/>
      <x:c r="H148" s="99"/>
      <x:c r="I148" s="100"/>
      <x:c r="J148" s="99"/>
      <x:c r="K148" s="99"/>
      <x:c r="L148" s="99"/>
      <x:c r="M148" s="99"/>
      <x:c r="N148" s="99"/>
      <x:c r="O148" s="96" t="str">
        <x:f>IF(E148="","",IF(E148="Small",IF(OR(F148="",G148="",H148=""),"",IF(AND(F148="Yes",G148="Small",H148="Skip"),"Yes","No")),IF(OR(E148="Normal",E148="Large"),IF(OR(F148="",G148="",H148="",K148="",L148="",M148="",N148=""),"",IF(AND(F148="Yes",G148=E148,H148="Pick",K148="Yes",L148="No",M148=IF(E148="Normal","Normal_Bin","Large_Bin"),N148="Yes"),"Yes","No")),"")))</x:f>
      </x:c>
      <x:c r="P148" s="99" t="str">
        <x:v>NONE</x:v>
      </x:c>
      <x:c r="Q148" s="101"/>
      <x:c r="R148" s="102"/>
    </x:row>
    <x:row r="149">
      <x:c r="A149" s="97" t="n">
        <x:v>13</x:v>
      </x:c>
      <x:c r="B149" s="98" t="str">
        <x:v>B</x:v>
      </x:c>
      <x:c r="C149" s="97" t="n">
        <x:v>2</x:v>
      </x:c>
      <x:c r="D149" s="96" t="str">
        <x:f>IF(OR(A149="",B149="",E149=""),"","R"&amp;TEXT(A149,"00")&amp;"-"&amp;B149&amp;"-"&amp;LEFT(E149,1)&amp;IF(COUNTIFS($A$2:A149,A149,$B$2:B149,B149,$E$2:E149,E149)&gt;1,"-"&amp;COUNTIFS($A$2:A149,A149,$B$2:B149,B149,$E$2:E149,E149),""))</x:f>
        <x:v>R13-B-S</x:v>
      </x:c>
      <x:c r="E149" s="99" t="str">
        <x:v>Small</x:v>
      </x:c>
      <x:c r="F149" s="99"/>
      <x:c r="G149" s="99"/>
      <x:c r="H149" s="99"/>
      <x:c r="I149" s="100" t="n">
        <x:v>0</x:v>
      </x:c>
      <x:c r="J149" s="99" t="str">
        <x:v>N/A</x:v>
      </x:c>
      <x:c r="K149" s="99" t="str">
        <x:v>N/A</x:v>
      </x:c>
      <x:c r="L149" s="99" t="str">
        <x:v>N/A</x:v>
      </x:c>
      <x:c r="M149" s="99" t="str">
        <x:v>N/A</x:v>
      </x:c>
      <x:c r="N149" s="99" t="str">
        <x:v>N/A</x:v>
      </x:c>
      <x:c r="O149" s="96" t="str">
        <x:f>IF(E149="","",IF(E149="Small",IF(OR(F149="",G149="",H149=""),"",IF(AND(F149="Yes",G149="Small",H149="Skip"),"Yes","No")),IF(OR(E149="Normal",E149="Large"),IF(OR(F149="",G149="",H149="",K149="",L149="",M149="",N149=""),"",IF(AND(F149="Yes",G149=E149,H149="Pick",K149="Yes",L149="No",M149=IF(E149="Normal","Normal_Bin","Large_Bin"),N149="Yes"),"Yes","No")),"")))</x:f>
      </x:c>
      <x:c r="P149" s="99" t="str">
        <x:v>NONE</x:v>
      </x:c>
      <x:c r="Q149" s="101"/>
      <x:c r="R149" s="102"/>
    </x:row>
    <x:row r="150">
      <x:c r="A150" s="97" t="n">
        <x:v>13</x:v>
      </x:c>
      <x:c r="B150" s="98" t="str">
        <x:v>B</x:v>
      </x:c>
      <x:c r="C150" s="97" t="n">
        <x:v>2</x:v>
      </x:c>
      <x:c r="D150" s="96" t="str">
        <x:f>IF(OR(A150="",B150="",E150=""),"","R"&amp;TEXT(A150,"00")&amp;"-"&amp;B150&amp;"-"&amp;LEFT(E150,1)&amp;IF(COUNTIFS($A$2:A150,A150,$B$2:B150,B150,$E$2:E150,E150)&gt;1,"-"&amp;COUNTIFS($A$2:A150,A150,$B$2:B150,B150,$E$2:E150,E150),""))</x:f>
        <x:v>R13-B-N</x:v>
      </x:c>
      <x:c r="E150" s="99" t="str">
        <x:v>Normal</x:v>
      </x:c>
      <x:c r="F150" s="99"/>
      <x:c r="G150" s="99"/>
      <x:c r="H150" s="99"/>
      <x:c r="I150" s="100"/>
      <x:c r="J150" s="99"/>
      <x:c r="K150" s="99"/>
      <x:c r="L150" s="99"/>
      <x:c r="M150" s="99"/>
      <x:c r="N150" s="99"/>
      <x:c r="O150" s="96" t="str">
        <x:f>IF(E150="","",IF(E150="Small",IF(OR(F150="",G150="",H150=""),"",IF(AND(F150="Yes",G150="Small",H150="Skip"),"Yes","No")),IF(OR(E150="Normal",E150="Large"),IF(OR(F150="",G150="",H150="",K150="",L150="",M150="",N150=""),"",IF(AND(F150="Yes",G150=E150,H150="Pick",K150="Yes",L150="No",M150=IF(E150="Normal","Normal_Bin","Large_Bin"),N150="Yes"),"Yes","No")),"")))</x:f>
      </x:c>
      <x:c r="P150" s="99" t="str">
        <x:v>NONE</x:v>
      </x:c>
      <x:c r="Q150" s="101"/>
      <x:c r="R150" s="102"/>
    </x:row>
    <x:row r="151">
      <x:c r="A151" s="97" t="n">
        <x:v>13</x:v>
      </x:c>
      <x:c r="B151" s="98" t="str">
        <x:v>B</x:v>
      </x:c>
      <x:c r="C151" s="97" t="n">
        <x:v>2</x:v>
      </x:c>
      <x:c r="D151" s="96" t="str">
        <x:f>IF(OR(A151="",B151="",E151=""),"","R"&amp;TEXT(A151,"00")&amp;"-"&amp;B151&amp;"-"&amp;LEFT(E151,1)&amp;IF(COUNTIFS($A$2:A151,A151,$B$2:B151,B151,$E$2:E151,E151)&gt;1,"-"&amp;COUNTIFS($A$2:A151,A151,$B$2:B151,B151,$E$2:E151,E151),""))</x:f>
        <x:v>R13-B-L</x:v>
      </x:c>
      <x:c r="E151" s="99" t="str">
        <x:v>Large</x:v>
      </x:c>
      <x:c r="F151" s="99"/>
      <x:c r="G151" s="99"/>
      <x:c r="H151" s="99"/>
      <x:c r="I151" s="100"/>
      <x:c r="J151" s="99"/>
      <x:c r="K151" s="99"/>
      <x:c r="L151" s="99"/>
      <x:c r="M151" s="99"/>
      <x:c r="N151" s="99"/>
      <x:c r="O151" s="96" t="str">
        <x:f>IF(E151="","",IF(E151="Small",IF(OR(F151="",G151="",H151=""),"",IF(AND(F151="Yes",G151="Small",H151="Skip"),"Yes","No")),IF(OR(E151="Normal",E151="Large"),IF(OR(F151="",G151="",H151="",K151="",L151="",M151="",N151=""),"",IF(AND(F151="Yes",G151=E151,H151="Pick",K151="Yes",L151="No",M151=IF(E151="Normal","Normal_Bin","Large_Bin"),N151="Yes"),"Yes","No")),"")))</x:f>
      </x:c>
      <x:c r="P151" s="99" t="str">
        <x:v>NONE</x:v>
      </x:c>
      <x:c r="Q151" s="101"/>
      <x:c r="R151" s="102"/>
    </x:row>
    <x:row r="152">
      <x:c r="A152" s="97" t="n">
        <x:v>13</x:v>
      </x:c>
      <x:c r="B152" s="98" t="str">
        <x:v>C</x:v>
      </x:c>
      <x:c r="C152" s="97" t="n">
        <x:v>3</x:v>
      </x:c>
      <x:c r="D152" s="96" t="str">
        <x:f>IF(OR(A152="",B152="",E152=""),"","R"&amp;TEXT(A152,"00")&amp;"-"&amp;B152&amp;"-"&amp;LEFT(E152,1)&amp;IF(COUNTIFS($A$2:A152,A152,$B$2:B152,B152,$E$2:E152,E152)&gt;1,"-"&amp;COUNTIFS($A$2:A152,A152,$B$2:B152,B152,$E$2:E152,E152),""))</x:f>
        <x:v>R13-C-S</x:v>
      </x:c>
      <x:c r="E152" s="99" t="str">
        <x:v>Small</x:v>
      </x:c>
      <x:c r="F152" s="99"/>
      <x:c r="G152" s="99"/>
      <x:c r="H152" s="99"/>
      <x:c r="I152" s="100" t="n">
        <x:v>0</x:v>
      </x:c>
      <x:c r="J152" s="99" t="str">
        <x:v>N/A</x:v>
      </x:c>
      <x:c r="K152" s="99" t="str">
        <x:v>N/A</x:v>
      </x:c>
      <x:c r="L152" s="99" t="str">
        <x:v>N/A</x:v>
      </x:c>
      <x:c r="M152" s="99" t="str">
        <x:v>N/A</x:v>
      </x:c>
      <x:c r="N152" s="99" t="str">
        <x:v>N/A</x:v>
      </x:c>
      <x:c r="O152" s="96" t="str">
        <x:f>IF(E152="","",IF(E152="Small",IF(OR(F152="",G152="",H152=""),"",IF(AND(F152="Yes",G152="Small",H152="Skip"),"Yes","No")),IF(OR(E152="Normal",E152="Large"),IF(OR(F152="",G152="",H152="",K152="",L152="",M152="",N152=""),"",IF(AND(F152="Yes",G152=E152,H152="Pick",K152="Yes",L152="No",M152=IF(E152="Normal","Normal_Bin","Large_Bin"),N152="Yes"),"Yes","No")),"")))</x:f>
      </x:c>
      <x:c r="P152" s="99" t="str">
        <x:v>NONE</x:v>
      </x:c>
      <x:c r="Q152" s="101"/>
      <x:c r="R152" s="102"/>
    </x:row>
    <x:row r="153">
      <x:c r="A153" s="97" t="n">
        <x:v>13</x:v>
      </x:c>
      <x:c r="B153" s="98" t="str">
        <x:v>C</x:v>
      </x:c>
      <x:c r="C153" s="97" t="n">
        <x:v>3</x:v>
      </x:c>
      <x:c r="D153" s="96" t="str">
        <x:f>IF(OR(A153="",B153="",E153=""),"","R"&amp;TEXT(A153,"00")&amp;"-"&amp;B153&amp;"-"&amp;LEFT(E153,1)&amp;IF(COUNTIFS($A$2:A153,A153,$B$2:B153,B153,$E$2:E153,E153)&gt;1,"-"&amp;COUNTIFS($A$2:A153,A153,$B$2:B153,B153,$E$2:E153,E153),""))</x:f>
        <x:v>R13-C-N</x:v>
      </x:c>
      <x:c r="E153" s="99" t="str">
        <x:v>Normal</x:v>
      </x:c>
      <x:c r="F153" s="99"/>
      <x:c r="G153" s="99"/>
      <x:c r="H153" s="99"/>
      <x:c r="I153" s="100"/>
      <x:c r="J153" s="99"/>
      <x:c r="K153" s="99"/>
      <x:c r="L153" s="99"/>
      <x:c r="M153" s="99"/>
      <x:c r="N153" s="99"/>
      <x:c r="O153" s="96" t="str">
        <x:f>IF(E153="","",IF(E153="Small",IF(OR(F153="",G153="",H153=""),"",IF(AND(F153="Yes",G153="Small",H153="Skip"),"Yes","No")),IF(OR(E153="Normal",E153="Large"),IF(OR(F153="",G153="",H153="",K153="",L153="",M153="",N153=""),"",IF(AND(F153="Yes",G153=E153,H153="Pick",K153="Yes",L153="No",M153=IF(E153="Normal","Normal_Bin","Large_Bin"),N153="Yes"),"Yes","No")),"")))</x:f>
      </x:c>
      <x:c r="P153" s="99" t="str">
        <x:v>NONE</x:v>
      </x:c>
      <x:c r="Q153" s="101"/>
      <x:c r="R153" s="102"/>
    </x:row>
    <x:row r="154">
      <x:c r="A154" s="97" t="n">
        <x:v>13</x:v>
      </x:c>
      <x:c r="B154" s="98" t="str">
        <x:v>C</x:v>
      </x:c>
      <x:c r="C154" s="97" t="n">
        <x:v>3</x:v>
      </x:c>
      <x:c r="D154" s="96" t="str">
        <x:f>IF(OR(A154="",B154="",E154=""),"","R"&amp;TEXT(A154,"00")&amp;"-"&amp;B154&amp;"-"&amp;LEFT(E154,1)&amp;IF(COUNTIFS($A$2:A154,A154,$B$2:B154,B154,$E$2:E154,E154)&gt;1,"-"&amp;COUNTIFS($A$2:A154,A154,$B$2:B154,B154,$E$2:E154,E154),""))</x:f>
        <x:v>R13-C-L</x:v>
      </x:c>
      <x:c r="E154" s="99" t="str">
        <x:v>Large</x:v>
      </x:c>
      <x:c r="F154" s="99"/>
      <x:c r="G154" s="99"/>
      <x:c r="H154" s="99"/>
      <x:c r="I154" s="100"/>
      <x:c r="J154" s="99"/>
      <x:c r="K154" s="99"/>
      <x:c r="L154" s="99"/>
      <x:c r="M154" s="99"/>
      <x:c r="N154" s="99"/>
      <x:c r="O154" s="96" t="str">
        <x:f>IF(E154="","",IF(E154="Small",IF(OR(F154="",G154="",H154=""),"",IF(AND(F154="Yes",G154="Small",H154="Skip"),"Yes","No")),IF(OR(E154="Normal",E154="Large"),IF(OR(F154="",G154="",H154="",K154="",L154="",M154="",N154=""),"",IF(AND(F154="Yes",G154=E154,H154="Pick",K154="Yes",L154="No",M154=IF(E154="Normal","Normal_Bin","Large_Bin"),N154="Yes"),"Yes","No")),"")))</x:f>
      </x:c>
      <x:c r="P154" s="99" t="str">
        <x:v>NONE</x:v>
      </x:c>
      <x:c r="Q154" s="101"/>
      <x:c r="R154" s="102"/>
    </x:row>
    <x:row r="155">
      <x:c r="A155" s="97" t="n">
        <x:v>13</x:v>
      </x:c>
      <x:c r="B155" s="98" t="str">
        <x:v>D</x:v>
      </x:c>
      <x:c r="C155" s="97" t="n">
        <x:v>4</x:v>
      </x:c>
      <x:c r="D155" s="96" t="str">
        <x:f>IF(OR(A155="",B155="",E155=""),"","R"&amp;TEXT(A155,"00")&amp;"-"&amp;B155&amp;"-"&amp;LEFT(E155,1)&amp;IF(COUNTIFS($A$2:A155,A155,$B$2:B155,B155,$E$2:E155,E155)&gt;1,"-"&amp;COUNTIFS($A$2:A155,A155,$B$2:B155,B155,$E$2:E155,E155),""))</x:f>
        <x:v>R13-D-S</x:v>
      </x:c>
      <x:c r="E155" s="99" t="str">
        <x:v>Small</x:v>
      </x:c>
      <x:c r="F155" s="99"/>
      <x:c r="G155" s="99"/>
      <x:c r="H155" s="99"/>
      <x:c r="I155" s="100" t="n">
        <x:v>0</x:v>
      </x:c>
      <x:c r="J155" s="99" t="str">
        <x:v>N/A</x:v>
      </x:c>
      <x:c r="K155" s="99" t="str">
        <x:v>N/A</x:v>
      </x:c>
      <x:c r="L155" s="99" t="str">
        <x:v>N/A</x:v>
      </x:c>
      <x:c r="M155" s="99" t="str">
        <x:v>N/A</x:v>
      </x:c>
      <x:c r="N155" s="99" t="str">
        <x:v>N/A</x:v>
      </x:c>
      <x:c r="O155" s="96" t="str">
        <x:f>IF(E155="","",IF(E155="Small",IF(OR(F155="",G155="",H155=""),"",IF(AND(F155="Yes",G155="Small",H155="Skip"),"Yes","No")),IF(OR(E155="Normal",E155="Large"),IF(OR(F155="",G155="",H155="",K155="",L155="",M155="",N155=""),"",IF(AND(F155="Yes",G155=E155,H155="Pick",K155="Yes",L155="No",M155=IF(E155="Normal","Normal_Bin","Large_Bin"),N155="Yes"),"Yes","No")),"")))</x:f>
      </x:c>
      <x:c r="P155" s="99" t="str">
        <x:v>NONE</x:v>
      </x:c>
      <x:c r="Q155" s="101"/>
      <x:c r="R155" s="102"/>
    </x:row>
    <x:row r="156">
      <x:c r="A156" s="97" t="n">
        <x:v>13</x:v>
      </x:c>
      <x:c r="B156" s="98" t="str">
        <x:v>D</x:v>
      </x:c>
      <x:c r="C156" s="97" t="n">
        <x:v>4</x:v>
      </x:c>
      <x:c r="D156" s="96" t="str">
        <x:f>IF(OR(A156="",B156="",E156=""),"","R"&amp;TEXT(A156,"00")&amp;"-"&amp;B156&amp;"-"&amp;LEFT(E156,1)&amp;IF(COUNTIFS($A$2:A156,A156,$B$2:B156,B156,$E$2:E156,E156)&gt;1,"-"&amp;COUNTIFS($A$2:A156,A156,$B$2:B156,B156,$E$2:E156,E156),""))</x:f>
        <x:v>R13-D-N</x:v>
      </x:c>
      <x:c r="E156" s="99" t="str">
        <x:v>Normal</x:v>
      </x:c>
      <x:c r="F156" s="99"/>
      <x:c r="G156" s="99"/>
      <x:c r="H156" s="99"/>
      <x:c r="I156" s="100"/>
      <x:c r="J156" s="99"/>
      <x:c r="K156" s="99"/>
      <x:c r="L156" s="99"/>
      <x:c r="M156" s="99"/>
      <x:c r="N156" s="99"/>
      <x:c r="O156" s="96" t="str">
        <x:f>IF(E156="","",IF(E156="Small",IF(OR(F156="",G156="",H156=""),"",IF(AND(F156="Yes",G156="Small",H156="Skip"),"Yes","No")),IF(OR(E156="Normal",E156="Large"),IF(OR(F156="",G156="",H156="",K156="",L156="",M156="",N156=""),"",IF(AND(F156="Yes",G156=E156,H156="Pick",K156="Yes",L156="No",M156=IF(E156="Normal","Normal_Bin","Large_Bin"),N156="Yes"),"Yes","No")),"")))</x:f>
      </x:c>
      <x:c r="P156" s="99" t="str">
        <x:v>NONE</x:v>
      </x:c>
      <x:c r="Q156" s="101"/>
      <x:c r="R156" s="102"/>
    </x:row>
    <x:row r="157">
      <x:c r="A157" s="97" t="n">
        <x:v>13</x:v>
      </x:c>
      <x:c r="B157" s="98" t="str">
        <x:v>D</x:v>
      </x:c>
      <x:c r="C157" s="97" t="n">
        <x:v>4</x:v>
      </x:c>
      <x:c r="D157" s="96" t="str">
        <x:f>IF(OR(A157="",B157="",E157=""),"","R"&amp;TEXT(A157,"00")&amp;"-"&amp;B157&amp;"-"&amp;LEFT(E157,1)&amp;IF(COUNTIFS($A$2:A157,A157,$B$2:B157,B157,$E$2:E157,E157)&gt;1,"-"&amp;COUNTIFS($A$2:A157,A157,$B$2:B157,B157,$E$2:E157,E157),""))</x:f>
        <x:v>R13-D-L</x:v>
      </x:c>
      <x:c r="E157" s="99" t="str">
        <x:v>Large</x:v>
      </x:c>
      <x:c r="F157" s="99"/>
      <x:c r="G157" s="99"/>
      <x:c r="H157" s="99"/>
      <x:c r="I157" s="100"/>
      <x:c r="J157" s="99"/>
      <x:c r="K157" s="99"/>
      <x:c r="L157" s="99"/>
      <x:c r="M157" s="99"/>
      <x:c r="N157" s="99"/>
      <x:c r="O157" s="96" t="str">
        <x:f>IF(E157="","",IF(E157="Small",IF(OR(F157="",G157="",H157=""),"",IF(AND(F157="Yes",G157="Small",H157="Skip"),"Yes","No")),IF(OR(E157="Normal",E157="Large"),IF(OR(F157="",G157="",H157="",K157="",L157="",M157="",N157=""),"",IF(AND(F157="Yes",G157=E157,H157="Pick",K157="Yes",L157="No",M157=IF(E157="Normal","Normal_Bin","Large_Bin"),N157="Yes"),"Yes","No")),"")))</x:f>
      </x:c>
      <x:c r="P157" s="99" t="str">
        <x:v>NONE</x:v>
      </x:c>
      <x:c r="Q157" s="101"/>
      <x:c r="R157" s="102"/>
    </x:row>
    <x:row r="158">
      <x:c r="A158" s="97" t="n">
        <x:v>14</x:v>
      </x:c>
      <x:c r="B158" s="98" t="str">
        <x:v>B</x:v>
      </x:c>
      <x:c r="C158" s="97" t="n">
        <x:v>1</x:v>
      </x:c>
      <x:c r="D158" s="96" t="str">
        <x:f>IF(OR(A158="",B158="",E158=""),"","R"&amp;TEXT(A158,"00")&amp;"-"&amp;B158&amp;"-"&amp;LEFT(E158,1)&amp;IF(COUNTIFS($A$2:A158,A158,$B$2:B158,B158,$E$2:E158,E158)&gt;1,"-"&amp;COUNTIFS($A$2:A158,A158,$B$2:B158,B158,$E$2:E158,E158),""))</x:f>
        <x:v>R14-B-S</x:v>
      </x:c>
      <x:c r="E158" s="99" t="str">
        <x:v>Small</x:v>
      </x:c>
      <x:c r="F158" s="99"/>
      <x:c r="G158" s="99"/>
      <x:c r="H158" s="99"/>
      <x:c r="I158" s="100" t="n">
        <x:v>0</x:v>
      </x:c>
      <x:c r="J158" s="99" t="str">
        <x:v>N/A</x:v>
      </x:c>
      <x:c r="K158" s="99" t="str">
        <x:v>N/A</x:v>
      </x:c>
      <x:c r="L158" s="99" t="str">
        <x:v>N/A</x:v>
      </x:c>
      <x:c r="M158" s="99" t="str">
        <x:v>N/A</x:v>
      </x:c>
      <x:c r="N158" s="99" t="str">
        <x:v>N/A</x:v>
      </x:c>
      <x:c r="O158" s="96" t="str">
        <x:f>IF(E158="","",IF(E158="Small",IF(OR(F158="",G158="",H158=""),"",IF(AND(F158="Yes",G158="Small",H158="Skip"),"Yes","No")),IF(OR(E158="Normal",E158="Large"),IF(OR(F158="",G158="",H158="",K158="",L158="",M158="",N158=""),"",IF(AND(F158="Yes",G158=E158,H158="Pick",K158="Yes",L158="No",M158=IF(E158="Normal","Normal_Bin","Large_Bin"),N158="Yes"),"Yes","No")),"")))</x:f>
      </x:c>
      <x:c r="P158" s="99" t="str">
        <x:v>NONE</x:v>
      </x:c>
      <x:c r="Q158" s="101"/>
      <x:c r="R158" s="102"/>
    </x:row>
    <x:row r="159">
      <x:c r="A159" s="97" t="n">
        <x:v>14</x:v>
      </x:c>
      <x:c r="B159" s="98" t="str">
        <x:v>B</x:v>
      </x:c>
      <x:c r="C159" s="97" t="n">
        <x:v>1</x:v>
      </x:c>
      <x:c r="D159" s="96" t="str">
        <x:f>IF(OR(A159="",B159="",E159=""),"","R"&amp;TEXT(A159,"00")&amp;"-"&amp;B159&amp;"-"&amp;LEFT(E159,1)&amp;IF(COUNTIFS($A$2:A159,A159,$B$2:B159,B159,$E$2:E159,E159)&gt;1,"-"&amp;COUNTIFS($A$2:A159,A159,$B$2:B159,B159,$E$2:E159,E159),""))</x:f>
        <x:v>R14-B-N</x:v>
      </x:c>
      <x:c r="E159" s="99" t="str">
        <x:v>Normal</x:v>
      </x:c>
      <x:c r="F159" s="99"/>
      <x:c r="G159" s="99"/>
      <x:c r="H159" s="99"/>
      <x:c r="I159" s="100"/>
      <x:c r="J159" s="99"/>
      <x:c r="K159" s="99"/>
      <x:c r="L159" s="99"/>
      <x:c r="M159" s="99"/>
      <x:c r="N159" s="99"/>
      <x:c r="O159" s="96" t="str">
        <x:f>IF(E159="","",IF(E159="Small",IF(OR(F159="",G159="",H159=""),"",IF(AND(F159="Yes",G159="Small",H159="Skip"),"Yes","No")),IF(OR(E159="Normal",E159="Large"),IF(OR(F159="",G159="",H159="",K159="",L159="",M159="",N159=""),"",IF(AND(F159="Yes",G159=E159,H159="Pick",K159="Yes",L159="No",M159=IF(E159="Normal","Normal_Bin","Large_Bin"),N159="Yes"),"Yes","No")),"")))</x:f>
      </x:c>
      <x:c r="P159" s="99" t="str">
        <x:v>NONE</x:v>
      </x:c>
      <x:c r="Q159" s="101"/>
      <x:c r="R159" s="102"/>
    </x:row>
    <x:row r="160">
      <x:c r="A160" s="97" t="n">
        <x:v>14</x:v>
      </x:c>
      <x:c r="B160" s="98" t="str">
        <x:v>B</x:v>
      </x:c>
      <x:c r="C160" s="97" t="n">
        <x:v>1</x:v>
      </x:c>
      <x:c r="D160" s="96" t="str">
        <x:f>IF(OR(A160="",B160="",E160=""),"","R"&amp;TEXT(A160,"00")&amp;"-"&amp;B160&amp;"-"&amp;LEFT(E160,1)&amp;IF(COUNTIFS($A$2:A160,A160,$B$2:B160,B160,$E$2:E160,E160)&gt;1,"-"&amp;COUNTIFS($A$2:A160,A160,$B$2:B160,B160,$E$2:E160,E160),""))</x:f>
        <x:v>R14-B-L</x:v>
      </x:c>
      <x:c r="E160" s="99" t="str">
        <x:v>Large</x:v>
      </x:c>
      <x:c r="F160" s="99"/>
      <x:c r="G160" s="99"/>
      <x:c r="H160" s="99"/>
      <x:c r="I160" s="100"/>
      <x:c r="J160" s="99"/>
      <x:c r="K160" s="99"/>
      <x:c r="L160" s="99"/>
      <x:c r="M160" s="99"/>
      <x:c r="N160" s="99"/>
      <x:c r="O160" s="96" t="str">
        <x:f>IF(E160="","",IF(E160="Small",IF(OR(F160="",G160="",H160=""),"",IF(AND(F160="Yes",G160="Small",H160="Skip"),"Yes","No")),IF(OR(E160="Normal",E160="Large"),IF(OR(F160="",G160="",H160="",K160="",L160="",M160="",N160=""),"",IF(AND(F160="Yes",G160=E160,H160="Pick",K160="Yes",L160="No",M160=IF(E160="Normal","Normal_Bin","Large_Bin"),N160="Yes"),"Yes","No")),"")))</x:f>
      </x:c>
      <x:c r="P160" s="99" t="str">
        <x:v>NONE</x:v>
      </x:c>
      <x:c r="Q160" s="101"/>
      <x:c r="R160" s="102"/>
    </x:row>
    <x:row r="161">
      <x:c r="A161" s="97" t="n">
        <x:v>14</x:v>
      </x:c>
      <x:c r="B161" s="98" t="str">
        <x:v>C</x:v>
      </x:c>
      <x:c r="C161" s="97" t="n">
        <x:v>2</x:v>
      </x:c>
      <x:c r="D161" s="96" t="str">
        <x:f>IF(OR(A161="",B161="",E161=""),"","R"&amp;TEXT(A161,"00")&amp;"-"&amp;B161&amp;"-"&amp;LEFT(E161,1)&amp;IF(COUNTIFS($A$2:A161,A161,$B$2:B161,B161,$E$2:E161,E161)&gt;1,"-"&amp;COUNTIFS($A$2:A161,A161,$B$2:B161,B161,$E$2:E161,E161),""))</x:f>
        <x:v>R14-C-S</x:v>
      </x:c>
      <x:c r="E161" s="99" t="str">
        <x:v>Small</x:v>
      </x:c>
      <x:c r="F161" s="99"/>
      <x:c r="G161" s="99"/>
      <x:c r="H161" s="99"/>
      <x:c r="I161" s="100" t="n">
        <x:v>0</x:v>
      </x:c>
      <x:c r="J161" s="99" t="str">
        <x:v>N/A</x:v>
      </x:c>
      <x:c r="K161" s="99" t="str">
        <x:v>N/A</x:v>
      </x:c>
      <x:c r="L161" s="99" t="str">
        <x:v>N/A</x:v>
      </x:c>
      <x:c r="M161" s="99" t="str">
        <x:v>N/A</x:v>
      </x:c>
      <x:c r="N161" s="99" t="str">
        <x:v>N/A</x:v>
      </x:c>
      <x:c r="O161" s="96" t="str">
        <x:f>IF(E161="","",IF(E161="Small",IF(OR(F161="",G161="",H161=""),"",IF(AND(F161="Yes",G161="Small",H161="Skip"),"Yes","No")),IF(OR(E161="Normal",E161="Large"),IF(OR(F161="",G161="",H161="",K161="",L161="",M161="",N161=""),"",IF(AND(F161="Yes",G161=E161,H161="Pick",K161="Yes",L161="No",M161=IF(E161="Normal","Normal_Bin","Large_Bin"),N161="Yes"),"Yes","No")),"")))</x:f>
      </x:c>
      <x:c r="P161" s="99" t="str">
        <x:v>NONE</x:v>
      </x:c>
      <x:c r="Q161" s="101"/>
      <x:c r="R161" s="102"/>
    </x:row>
    <x:row r="162">
      <x:c r="A162" s="97" t="n">
        <x:v>14</x:v>
      </x:c>
      <x:c r="B162" s="98" t="str">
        <x:v>C</x:v>
      </x:c>
      <x:c r="C162" s="97" t="n">
        <x:v>2</x:v>
      </x:c>
      <x:c r="D162" s="96" t="str">
        <x:f>IF(OR(A162="",B162="",E162=""),"","R"&amp;TEXT(A162,"00")&amp;"-"&amp;B162&amp;"-"&amp;LEFT(E162,1)&amp;IF(COUNTIFS($A$2:A162,A162,$B$2:B162,B162,$E$2:E162,E162)&gt;1,"-"&amp;COUNTIFS($A$2:A162,A162,$B$2:B162,B162,$E$2:E162,E162),""))</x:f>
        <x:v>R14-C-N</x:v>
      </x:c>
      <x:c r="E162" s="99" t="str">
        <x:v>Normal</x:v>
      </x:c>
      <x:c r="F162" s="99"/>
      <x:c r="G162" s="99"/>
      <x:c r="H162" s="99"/>
      <x:c r="I162" s="100"/>
      <x:c r="J162" s="99"/>
      <x:c r="K162" s="99"/>
      <x:c r="L162" s="99"/>
      <x:c r="M162" s="99"/>
      <x:c r="N162" s="99"/>
      <x:c r="O162" s="96" t="str">
        <x:f>IF(E162="","",IF(E162="Small",IF(OR(F162="",G162="",H162=""),"",IF(AND(F162="Yes",G162="Small",H162="Skip"),"Yes","No")),IF(OR(E162="Normal",E162="Large"),IF(OR(F162="",G162="",H162="",K162="",L162="",M162="",N162=""),"",IF(AND(F162="Yes",G162=E162,H162="Pick",K162="Yes",L162="No",M162=IF(E162="Normal","Normal_Bin","Large_Bin"),N162="Yes"),"Yes","No")),"")))</x:f>
      </x:c>
      <x:c r="P162" s="99" t="str">
        <x:v>NONE</x:v>
      </x:c>
      <x:c r="Q162" s="101"/>
      <x:c r="R162" s="102"/>
    </x:row>
    <x:row r="163">
      <x:c r="A163" s="97" t="n">
        <x:v>14</x:v>
      </x:c>
      <x:c r="B163" s="98" t="str">
        <x:v>C</x:v>
      </x:c>
      <x:c r="C163" s="97" t="n">
        <x:v>2</x:v>
      </x:c>
      <x:c r="D163" s="96" t="str">
        <x:f>IF(OR(A163="",B163="",E163=""),"","R"&amp;TEXT(A163,"00")&amp;"-"&amp;B163&amp;"-"&amp;LEFT(E163,1)&amp;IF(COUNTIFS($A$2:A163,A163,$B$2:B163,B163,$E$2:E163,E163)&gt;1,"-"&amp;COUNTIFS($A$2:A163,A163,$B$2:B163,B163,$E$2:E163,E163),""))</x:f>
        <x:v>R14-C-L</x:v>
      </x:c>
      <x:c r="E163" s="99" t="str">
        <x:v>Large</x:v>
      </x:c>
      <x:c r="F163" s="99"/>
      <x:c r="G163" s="99"/>
      <x:c r="H163" s="99"/>
      <x:c r="I163" s="100"/>
      <x:c r="J163" s="99"/>
      <x:c r="K163" s="99"/>
      <x:c r="L163" s="99"/>
      <x:c r="M163" s="99"/>
      <x:c r="N163" s="99"/>
      <x:c r="O163" s="96" t="str">
        <x:f>IF(E163="","",IF(E163="Small",IF(OR(F163="",G163="",H163=""),"",IF(AND(F163="Yes",G163="Small",H163="Skip"),"Yes","No")),IF(OR(E163="Normal",E163="Large"),IF(OR(F163="",G163="",H163="",K163="",L163="",M163="",N163=""),"",IF(AND(F163="Yes",G163=E163,H163="Pick",K163="Yes",L163="No",M163=IF(E163="Normal","Normal_Bin","Large_Bin"),N163="Yes"),"Yes","No")),"")))</x:f>
      </x:c>
      <x:c r="P163" s="99" t="str">
        <x:v>NONE</x:v>
      </x:c>
      <x:c r="Q163" s="101"/>
      <x:c r="R163" s="102"/>
    </x:row>
    <x:row r="164">
      <x:c r="A164" s="97" t="n">
        <x:v>14</x:v>
      </x:c>
      <x:c r="B164" s="98" t="str">
        <x:v>D</x:v>
      </x:c>
      <x:c r="C164" s="97" t="n">
        <x:v>3</x:v>
      </x:c>
      <x:c r="D164" s="96" t="str">
        <x:f>IF(OR(A164="",B164="",E164=""),"","R"&amp;TEXT(A164,"00")&amp;"-"&amp;B164&amp;"-"&amp;LEFT(E164,1)&amp;IF(COUNTIFS($A$2:A164,A164,$B$2:B164,B164,$E$2:E164,E164)&gt;1,"-"&amp;COUNTIFS($A$2:A164,A164,$B$2:B164,B164,$E$2:E164,E164),""))</x:f>
        <x:v>R14-D-S</x:v>
      </x:c>
      <x:c r="E164" s="99" t="str">
        <x:v>Small</x:v>
      </x:c>
      <x:c r="F164" s="99"/>
      <x:c r="G164" s="99"/>
      <x:c r="H164" s="99"/>
      <x:c r="I164" s="100" t="n">
        <x:v>0</x:v>
      </x:c>
      <x:c r="J164" s="99" t="str">
        <x:v>N/A</x:v>
      </x:c>
      <x:c r="K164" s="99" t="str">
        <x:v>N/A</x:v>
      </x:c>
      <x:c r="L164" s="99" t="str">
        <x:v>N/A</x:v>
      </x:c>
      <x:c r="M164" s="99" t="str">
        <x:v>N/A</x:v>
      </x:c>
      <x:c r="N164" s="99" t="str">
        <x:v>N/A</x:v>
      </x:c>
      <x:c r="O164" s="96" t="str">
        <x:f>IF(E164="","",IF(E164="Small",IF(OR(F164="",G164="",H164=""),"",IF(AND(F164="Yes",G164="Small",H164="Skip"),"Yes","No")),IF(OR(E164="Normal",E164="Large"),IF(OR(F164="",G164="",H164="",K164="",L164="",M164="",N164=""),"",IF(AND(F164="Yes",G164=E164,H164="Pick",K164="Yes",L164="No",M164=IF(E164="Normal","Normal_Bin","Large_Bin"),N164="Yes"),"Yes","No")),"")))</x:f>
      </x:c>
      <x:c r="P164" s="99" t="str">
        <x:v>NONE</x:v>
      </x:c>
      <x:c r="Q164" s="101"/>
      <x:c r="R164" s="102"/>
    </x:row>
    <x:row r="165">
      <x:c r="A165" s="97" t="n">
        <x:v>14</x:v>
      </x:c>
      <x:c r="B165" s="98" t="str">
        <x:v>D</x:v>
      </x:c>
      <x:c r="C165" s="97" t="n">
        <x:v>3</x:v>
      </x:c>
      <x:c r="D165" s="96" t="str">
        <x:f>IF(OR(A165="",B165="",E165=""),"","R"&amp;TEXT(A165,"00")&amp;"-"&amp;B165&amp;"-"&amp;LEFT(E165,1)&amp;IF(COUNTIFS($A$2:A165,A165,$B$2:B165,B165,$E$2:E165,E165)&gt;1,"-"&amp;COUNTIFS($A$2:A165,A165,$B$2:B165,B165,$E$2:E165,E165),""))</x:f>
        <x:v>R14-D-N</x:v>
      </x:c>
      <x:c r="E165" s="99" t="str">
        <x:v>Normal</x:v>
      </x:c>
      <x:c r="F165" s="99"/>
      <x:c r="G165" s="99"/>
      <x:c r="H165" s="99"/>
      <x:c r="I165" s="100"/>
      <x:c r="J165" s="99"/>
      <x:c r="K165" s="99"/>
      <x:c r="L165" s="99"/>
      <x:c r="M165" s="99"/>
      <x:c r="N165" s="99"/>
      <x:c r="O165" s="96" t="str">
        <x:f>IF(E165="","",IF(E165="Small",IF(OR(F165="",G165="",H165=""),"",IF(AND(F165="Yes",G165="Small",H165="Skip"),"Yes","No")),IF(OR(E165="Normal",E165="Large"),IF(OR(F165="",G165="",H165="",K165="",L165="",M165="",N165=""),"",IF(AND(F165="Yes",G165=E165,H165="Pick",K165="Yes",L165="No",M165=IF(E165="Normal","Normal_Bin","Large_Bin"),N165="Yes"),"Yes","No")),"")))</x:f>
      </x:c>
      <x:c r="P165" s="99" t="str">
        <x:v>NONE</x:v>
      </x:c>
      <x:c r="Q165" s="101"/>
      <x:c r="R165" s="102"/>
    </x:row>
    <x:row r="166">
      <x:c r="A166" s="97" t="n">
        <x:v>14</x:v>
      </x:c>
      <x:c r="B166" s="98" t="str">
        <x:v>D</x:v>
      </x:c>
      <x:c r="C166" s="97" t="n">
        <x:v>3</x:v>
      </x:c>
      <x:c r="D166" s="96" t="str">
        <x:f>IF(OR(A166="",B166="",E166=""),"","R"&amp;TEXT(A166,"00")&amp;"-"&amp;B166&amp;"-"&amp;LEFT(E166,1)&amp;IF(COUNTIFS($A$2:A166,A166,$B$2:B166,B166,$E$2:E166,E166)&gt;1,"-"&amp;COUNTIFS($A$2:A166,A166,$B$2:B166,B166,$E$2:E166,E166),""))</x:f>
        <x:v>R14-D-L</x:v>
      </x:c>
      <x:c r="E166" s="99" t="str">
        <x:v>Large</x:v>
      </x:c>
      <x:c r="F166" s="99"/>
      <x:c r="G166" s="99"/>
      <x:c r="H166" s="99"/>
      <x:c r="I166" s="100"/>
      <x:c r="J166" s="99"/>
      <x:c r="K166" s="99"/>
      <x:c r="L166" s="99"/>
      <x:c r="M166" s="99"/>
      <x:c r="N166" s="99"/>
      <x:c r="O166" s="96" t="str">
        <x:f>IF(E166="","",IF(E166="Small",IF(OR(F166="",G166="",H166=""),"",IF(AND(F166="Yes",G166="Small",H166="Skip"),"Yes","No")),IF(OR(E166="Normal",E166="Large"),IF(OR(F166="",G166="",H166="",K166="",L166="",M166="",N166=""),"",IF(AND(F166="Yes",G166=E166,H166="Pick",K166="Yes",L166="No",M166=IF(E166="Normal","Normal_Bin","Large_Bin"),N166="Yes"),"Yes","No")),"")))</x:f>
      </x:c>
      <x:c r="P166" s="99" t="str">
        <x:v>NONE</x:v>
      </x:c>
      <x:c r="Q166" s="101"/>
      <x:c r="R166" s="102"/>
    </x:row>
    <x:row r="167">
      <x:c r="A167" s="97" t="n">
        <x:v>14</x:v>
      </x:c>
      <x:c r="B167" s="98" t="str">
        <x:v>A</x:v>
      </x:c>
      <x:c r="C167" s="97" t="n">
        <x:v>4</x:v>
      </x:c>
      <x:c r="D167" s="96" t="str">
        <x:f>IF(OR(A167="",B167="",E167=""),"","R"&amp;TEXT(A167,"00")&amp;"-"&amp;B167&amp;"-"&amp;LEFT(E167,1)&amp;IF(COUNTIFS($A$2:A167,A167,$B$2:B167,B167,$E$2:E167,E167)&gt;1,"-"&amp;COUNTIFS($A$2:A167,A167,$B$2:B167,B167,$E$2:E167,E167),""))</x:f>
        <x:v>R14-A-S</x:v>
      </x:c>
      <x:c r="E167" s="99" t="str">
        <x:v>Small</x:v>
      </x:c>
      <x:c r="F167" s="99"/>
      <x:c r="G167" s="99"/>
      <x:c r="H167" s="99"/>
      <x:c r="I167" s="100" t="n">
        <x:v>0</x:v>
      </x:c>
      <x:c r="J167" s="99" t="str">
        <x:v>N/A</x:v>
      </x:c>
      <x:c r="K167" s="99" t="str">
        <x:v>N/A</x:v>
      </x:c>
      <x:c r="L167" s="99" t="str">
        <x:v>N/A</x:v>
      </x:c>
      <x:c r="M167" s="99" t="str">
        <x:v>N/A</x:v>
      </x:c>
      <x:c r="N167" s="99" t="str">
        <x:v>N/A</x:v>
      </x:c>
      <x:c r="O167" s="96" t="str">
        <x:f>IF(E167="","",IF(E167="Small",IF(OR(F167="",G167="",H167=""),"",IF(AND(F167="Yes",G167="Small",H167="Skip"),"Yes","No")),IF(OR(E167="Normal",E167="Large"),IF(OR(F167="",G167="",H167="",K167="",L167="",M167="",N167=""),"",IF(AND(F167="Yes",G167=E167,H167="Pick",K167="Yes",L167="No",M167=IF(E167="Normal","Normal_Bin","Large_Bin"),N167="Yes"),"Yes","No")),"")))</x:f>
      </x:c>
      <x:c r="P167" s="99" t="str">
        <x:v>NONE</x:v>
      </x:c>
      <x:c r="Q167" s="101"/>
      <x:c r="R167" s="102"/>
    </x:row>
    <x:row r="168">
      <x:c r="A168" s="97" t="n">
        <x:v>14</x:v>
      </x:c>
      <x:c r="B168" s="98" t="str">
        <x:v>A</x:v>
      </x:c>
      <x:c r="C168" s="97" t="n">
        <x:v>4</x:v>
      </x:c>
      <x:c r="D168" s="96" t="str">
        <x:f>IF(OR(A168="",B168="",E168=""),"","R"&amp;TEXT(A168,"00")&amp;"-"&amp;B168&amp;"-"&amp;LEFT(E168,1)&amp;IF(COUNTIFS($A$2:A168,A168,$B$2:B168,B168,$E$2:E168,E168)&gt;1,"-"&amp;COUNTIFS($A$2:A168,A168,$B$2:B168,B168,$E$2:E168,E168),""))</x:f>
        <x:v>R14-A-N</x:v>
      </x:c>
      <x:c r="E168" s="99" t="str">
        <x:v>Normal</x:v>
      </x:c>
      <x:c r="F168" s="99"/>
      <x:c r="G168" s="99"/>
      <x:c r="H168" s="99"/>
      <x:c r="I168" s="100"/>
      <x:c r="J168" s="99"/>
      <x:c r="K168" s="99"/>
      <x:c r="L168" s="99"/>
      <x:c r="M168" s="99"/>
      <x:c r="N168" s="99"/>
      <x:c r="O168" s="96" t="str">
        <x:f>IF(E168="","",IF(E168="Small",IF(OR(F168="",G168="",H168=""),"",IF(AND(F168="Yes",G168="Small",H168="Skip"),"Yes","No")),IF(OR(E168="Normal",E168="Large"),IF(OR(F168="",G168="",H168="",K168="",L168="",M168="",N168=""),"",IF(AND(F168="Yes",G168=E168,H168="Pick",K168="Yes",L168="No",M168=IF(E168="Normal","Normal_Bin","Large_Bin"),N168="Yes"),"Yes","No")),"")))</x:f>
      </x:c>
      <x:c r="P168" s="99" t="str">
        <x:v>NONE</x:v>
      </x:c>
      <x:c r="Q168" s="101"/>
      <x:c r="R168" s="102"/>
    </x:row>
    <x:row r="169">
      <x:c r="A169" s="97" t="n">
        <x:v>14</x:v>
      </x:c>
      <x:c r="B169" s="98" t="str">
        <x:v>A</x:v>
      </x:c>
      <x:c r="C169" s="97" t="n">
        <x:v>4</x:v>
      </x:c>
      <x:c r="D169" s="96" t="str">
        <x:f>IF(OR(A169="",B169="",E169=""),"","R"&amp;TEXT(A169,"00")&amp;"-"&amp;B169&amp;"-"&amp;LEFT(E169,1)&amp;IF(COUNTIFS($A$2:A169,A169,$B$2:B169,B169,$E$2:E169,E169)&gt;1,"-"&amp;COUNTIFS($A$2:A169,A169,$B$2:B169,B169,$E$2:E169,E169),""))</x:f>
        <x:v>R14-A-L</x:v>
      </x:c>
      <x:c r="E169" s="99" t="str">
        <x:v>Large</x:v>
      </x:c>
      <x:c r="F169" s="99"/>
      <x:c r="G169" s="99"/>
      <x:c r="H169" s="99"/>
      <x:c r="I169" s="100"/>
      <x:c r="J169" s="99"/>
      <x:c r="K169" s="99"/>
      <x:c r="L169" s="99"/>
      <x:c r="M169" s="99"/>
      <x:c r="N169" s="99"/>
      <x:c r="O169" s="96" t="str">
        <x:f>IF(E169="","",IF(E169="Small",IF(OR(F169="",G169="",H169=""),"",IF(AND(F169="Yes",G169="Small",H169="Skip"),"Yes","No")),IF(OR(E169="Normal",E169="Large"),IF(OR(F169="",G169="",H169="",K169="",L169="",M169="",N169=""),"",IF(AND(F169="Yes",G169=E169,H169="Pick",K169="Yes",L169="No",M169=IF(E169="Normal","Normal_Bin","Large_Bin"),N169="Yes"),"Yes","No")),"")))</x:f>
      </x:c>
      <x:c r="P169" s="99" t="str">
        <x:v>NONE</x:v>
      </x:c>
      <x:c r="Q169" s="101"/>
      <x:c r="R169" s="102"/>
    </x:row>
    <x:row r="170">
      <x:c r="A170" s="97" t="n">
        <x:v>15</x:v>
      </x:c>
      <x:c r="B170" s="98" t="str">
        <x:v>C</x:v>
      </x:c>
      <x:c r="C170" s="97" t="n">
        <x:v>1</x:v>
      </x:c>
      <x:c r="D170" s="96" t="str">
        <x:f>IF(OR(A170="",B170="",E170=""),"","R"&amp;TEXT(A170,"00")&amp;"-"&amp;B170&amp;"-"&amp;LEFT(E170,1)&amp;IF(COUNTIFS($A$2:A170,A170,$B$2:B170,B170,$E$2:E170,E170)&gt;1,"-"&amp;COUNTIFS($A$2:A170,A170,$B$2:B170,B170,$E$2:E170,E170),""))</x:f>
        <x:v>R15-C-S</x:v>
      </x:c>
      <x:c r="E170" s="99" t="str">
        <x:v>Small</x:v>
      </x:c>
      <x:c r="F170" s="99"/>
      <x:c r="G170" s="99"/>
      <x:c r="H170" s="99"/>
      <x:c r="I170" s="100" t="n">
        <x:v>0</x:v>
      </x:c>
      <x:c r="J170" s="99" t="str">
        <x:v>N/A</x:v>
      </x:c>
      <x:c r="K170" s="99" t="str">
        <x:v>N/A</x:v>
      </x:c>
      <x:c r="L170" s="99" t="str">
        <x:v>N/A</x:v>
      </x:c>
      <x:c r="M170" s="99" t="str">
        <x:v>N/A</x:v>
      </x:c>
      <x:c r="N170" s="99" t="str">
        <x:v>N/A</x:v>
      </x:c>
      <x:c r="O170" s="96" t="str">
        <x:f>IF(E170="","",IF(E170="Small",IF(OR(F170="",G170="",H170=""),"",IF(AND(F170="Yes",G170="Small",H170="Skip"),"Yes","No")),IF(OR(E170="Normal",E170="Large"),IF(OR(F170="",G170="",H170="",K170="",L170="",M170="",N170=""),"",IF(AND(F170="Yes",G170=E170,H170="Pick",K170="Yes",L170="No",M170=IF(E170="Normal","Normal_Bin","Large_Bin"),N170="Yes"),"Yes","No")),"")))</x:f>
      </x:c>
      <x:c r="P170" s="99" t="str">
        <x:v>NONE</x:v>
      </x:c>
      <x:c r="Q170" s="101"/>
      <x:c r="R170" s="102"/>
    </x:row>
    <x:row r="171">
      <x:c r="A171" s="97" t="n">
        <x:v>15</x:v>
      </x:c>
      <x:c r="B171" s="98" t="str">
        <x:v>C</x:v>
      </x:c>
      <x:c r="C171" s="97" t="n">
        <x:v>1</x:v>
      </x:c>
      <x:c r="D171" s="96" t="str">
        <x:f>IF(OR(A171="",B171="",E171=""),"","R"&amp;TEXT(A171,"00")&amp;"-"&amp;B171&amp;"-"&amp;LEFT(E171,1)&amp;IF(COUNTIFS($A$2:A171,A171,$B$2:B171,B171,$E$2:E171,E171)&gt;1,"-"&amp;COUNTIFS($A$2:A171,A171,$B$2:B171,B171,$E$2:E171,E171),""))</x:f>
        <x:v>R15-C-N</x:v>
      </x:c>
      <x:c r="E171" s="99" t="str">
        <x:v>Normal</x:v>
      </x:c>
      <x:c r="F171" s="99"/>
      <x:c r="G171" s="99"/>
      <x:c r="H171" s="99"/>
      <x:c r="I171" s="100"/>
      <x:c r="J171" s="99"/>
      <x:c r="K171" s="99"/>
      <x:c r="L171" s="99"/>
      <x:c r="M171" s="99"/>
      <x:c r="N171" s="99"/>
      <x:c r="O171" s="96" t="str">
        <x:f>IF(E171="","",IF(E171="Small",IF(OR(F171="",G171="",H171=""),"",IF(AND(F171="Yes",G171="Small",H171="Skip"),"Yes","No")),IF(OR(E171="Normal",E171="Large"),IF(OR(F171="",G171="",H171="",K171="",L171="",M171="",N171=""),"",IF(AND(F171="Yes",G171=E171,H171="Pick",K171="Yes",L171="No",M171=IF(E171="Normal","Normal_Bin","Large_Bin"),N171="Yes"),"Yes","No")),"")))</x:f>
      </x:c>
      <x:c r="P171" s="99" t="str">
        <x:v>NONE</x:v>
      </x:c>
      <x:c r="Q171" s="101"/>
      <x:c r="R171" s="102"/>
    </x:row>
    <x:row r="172">
      <x:c r="A172" s="97" t="n">
        <x:v>15</x:v>
      </x:c>
      <x:c r="B172" s="98" t="str">
        <x:v>C</x:v>
      </x:c>
      <x:c r="C172" s="97" t="n">
        <x:v>1</x:v>
      </x:c>
      <x:c r="D172" s="96" t="str">
        <x:f>IF(OR(A172="",B172="",E172=""),"","R"&amp;TEXT(A172,"00")&amp;"-"&amp;B172&amp;"-"&amp;LEFT(E172,1)&amp;IF(COUNTIFS($A$2:A172,A172,$B$2:B172,B172,$E$2:E172,E172)&gt;1,"-"&amp;COUNTIFS($A$2:A172,A172,$B$2:B172,B172,$E$2:E172,E172),""))</x:f>
        <x:v>R15-C-L</x:v>
      </x:c>
      <x:c r="E172" s="99" t="str">
        <x:v>Large</x:v>
      </x:c>
      <x:c r="F172" s="99"/>
      <x:c r="G172" s="99"/>
      <x:c r="H172" s="99"/>
      <x:c r="I172" s="100"/>
      <x:c r="J172" s="99"/>
      <x:c r="K172" s="99"/>
      <x:c r="L172" s="99"/>
      <x:c r="M172" s="99"/>
      <x:c r="N172" s="99"/>
      <x:c r="O172" s="96" t="str">
        <x:f>IF(E172="","",IF(E172="Small",IF(OR(F172="",G172="",H172=""),"",IF(AND(F172="Yes",G172="Small",H172="Skip"),"Yes","No")),IF(OR(E172="Normal",E172="Large"),IF(OR(F172="",G172="",H172="",K172="",L172="",M172="",N172=""),"",IF(AND(F172="Yes",G172=E172,H172="Pick",K172="Yes",L172="No",M172=IF(E172="Normal","Normal_Bin","Large_Bin"),N172="Yes"),"Yes","No")),"")))</x:f>
      </x:c>
      <x:c r="P172" s="99" t="str">
        <x:v>NONE</x:v>
      </x:c>
      <x:c r="Q172" s="101"/>
      <x:c r="R172" s="102"/>
    </x:row>
    <x:row r="173">
      <x:c r="A173" s="97" t="n">
        <x:v>15</x:v>
      </x:c>
      <x:c r="B173" s="98" t="str">
        <x:v>D</x:v>
      </x:c>
      <x:c r="C173" s="97" t="n">
        <x:v>2</x:v>
      </x:c>
      <x:c r="D173" s="96" t="str">
        <x:f>IF(OR(A173="",B173="",E173=""),"","R"&amp;TEXT(A173,"00")&amp;"-"&amp;B173&amp;"-"&amp;LEFT(E173,1)&amp;IF(COUNTIFS($A$2:A173,A173,$B$2:B173,B173,$E$2:E173,E173)&gt;1,"-"&amp;COUNTIFS($A$2:A173,A173,$B$2:B173,B173,$E$2:E173,E173),""))</x:f>
        <x:v>R15-D-S</x:v>
      </x:c>
      <x:c r="E173" s="99" t="str">
        <x:v>Small</x:v>
      </x:c>
      <x:c r="F173" s="99"/>
      <x:c r="G173" s="99"/>
      <x:c r="H173" s="99"/>
      <x:c r="I173" s="100" t="n">
        <x:v>0</x:v>
      </x:c>
      <x:c r="J173" s="99" t="str">
        <x:v>N/A</x:v>
      </x:c>
      <x:c r="K173" s="99" t="str">
        <x:v>N/A</x:v>
      </x:c>
      <x:c r="L173" s="99" t="str">
        <x:v>N/A</x:v>
      </x:c>
      <x:c r="M173" s="99" t="str">
        <x:v>N/A</x:v>
      </x:c>
      <x:c r="N173" s="99" t="str">
        <x:v>N/A</x:v>
      </x:c>
      <x:c r="O173" s="96" t="str">
        <x:f>IF(E173="","",IF(E173="Small",IF(OR(F173="",G173="",H173=""),"",IF(AND(F173="Yes",G173="Small",H173="Skip"),"Yes","No")),IF(OR(E173="Normal",E173="Large"),IF(OR(F173="",G173="",H173="",K173="",L173="",M173="",N173=""),"",IF(AND(F173="Yes",G173=E173,H173="Pick",K173="Yes",L173="No",M173=IF(E173="Normal","Normal_Bin","Large_Bin"),N173="Yes"),"Yes","No")),"")))</x:f>
      </x:c>
      <x:c r="P173" s="99" t="str">
        <x:v>NONE</x:v>
      </x:c>
      <x:c r="Q173" s="101"/>
      <x:c r="R173" s="102"/>
    </x:row>
    <x:row r="174">
      <x:c r="A174" s="97" t="n">
        <x:v>15</x:v>
      </x:c>
      <x:c r="B174" s="98" t="str">
        <x:v>D</x:v>
      </x:c>
      <x:c r="C174" s="97" t="n">
        <x:v>2</x:v>
      </x:c>
      <x:c r="D174" s="96" t="str">
        <x:f>IF(OR(A174="",B174="",E174=""),"","R"&amp;TEXT(A174,"00")&amp;"-"&amp;B174&amp;"-"&amp;LEFT(E174,1)&amp;IF(COUNTIFS($A$2:A174,A174,$B$2:B174,B174,$E$2:E174,E174)&gt;1,"-"&amp;COUNTIFS($A$2:A174,A174,$B$2:B174,B174,$E$2:E174,E174),""))</x:f>
        <x:v>R15-D-N</x:v>
      </x:c>
      <x:c r="E174" s="99" t="str">
        <x:v>Normal</x:v>
      </x:c>
      <x:c r="F174" s="99"/>
      <x:c r="G174" s="99"/>
      <x:c r="H174" s="99"/>
      <x:c r="I174" s="100"/>
      <x:c r="J174" s="99"/>
      <x:c r="K174" s="99"/>
      <x:c r="L174" s="99"/>
      <x:c r="M174" s="99"/>
      <x:c r="N174" s="99"/>
      <x:c r="O174" s="96" t="str">
        <x:f>IF(E174="","",IF(E174="Small",IF(OR(F174="",G174="",H174=""),"",IF(AND(F174="Yes",G174="Small",H174="Skip"),"Yes","No")),IF(OR(E174="Normal",E174="Large"),IF(OR(F174="",G174="",H174="",K174="",L174="",M174="",N174=""),"",IF(AND(F174="Yes",G174=E174,H174="Pick",K174="Yes",L174="No",M174=IF(E174="Normal","Normal_Bin","Large_Bin"),N174="Yes"),"Yes","No")),"")))</x:f>
      </x:c>
      <x:c r="P174" s="99" t="str">
        <x:v>NONE</x:v>
      </x:c>
      <x:c r="Q174" s="101"/>
      <x:c r="R174" s="102"/>
    </x:row>
    <x:row r="175">
      <x:c r="A175" s="97" t="n">
        <x:v>15</x:v>
      </x:c>
      <x:c r="B175" s="98" t="str">
        <x:v>D</x:v>
      </x:c>
      <x:c r="C175" s="97" t="n">
        <x:v>2</x:v>
      </x:c>
      <x:c r="D175" s="96" t="str">
        <x:f>IF(OR(A175="",B175="",E175=""),"","R"&amp;TEXT(A175,"00")&amp;"-"&amp;B175&amp;"-"&amp;LEFT(E175,1)&amp;IF(COUNTIFS($A$2:A175,A175,$B$2:B175,B175,$E$2:E175,E175)&gt;1,"-"&amp;COUNTIFS($A$2:A175,A175,$B$2:B175,B175,$E$2:E175,E175),""))</x:f>
        <x:v>R15-D-L</x:v>
      </x:c>
      <x:c r="E175" s="99" t="str">
        <x:v>Large</x:v>
      </x:c>
      <x:c r="F175" s="99"/>
      <x:c r="G175" s="99"/>
      <x:c r="H175" s="99"/>
      <x:c r="I175" s="100"/>
      <x:c r="J175" s="99"/>
      <x:c r="K175" s="99"/>
      <x:c r="L175" s="99"/>
      <x:c r="M175" s="99"/>
      <x:c r="N175" s="99"/>
      <x:c r="O175" s="96" t="str">
        <x:f>IF(E175="","",IF(E175="Small",IF(OR(F175="",G175="",H175=""),"",IF(AND(F175="Yes",G175="Small",H175="Skip"),"Yes","No")),IF(OR(E175="Normal",E175="Large"),IF(OR(F175="",G175="",H175="",K175="",L175="",M175="",N175=""),"",IF(AND(F175="Yes",G175=E175,H175="Pick",K175="Yes",L175="No",M175=IF(E175="Normal","Normal_Bin","Large_Bin"),N175="Yes"),"Yes","No")),"")))</x:f>
      </x:c>
      <x:c r="P175" s="99" t="str">
        <x:v>NONE</x:v>
      </x:c>
      <x:c r="Q175" s="101"/>
      <x:c r="R175" s="102"/>
    </x:row>
    <x:row r="176">
      <x:c r="A176" s="97" t="n">
        <x:v>15</x:v>
      </x:c>
      <x:c r="B176" s="98" t="str">
        <x:v>A</x:v>
      </x:c>
      <x:c r="C176" s="97" t="n">
        <x:v>3</x:v>
      </x:c>
      <x:c r="D176" s="96" t="str">
        <x:f>IF(OR(A176="",B176="",E176=""),"","R"&amp;TEXT(A176,"00")&amp;"-"&amp;B176&amp;"-"&amp;LEFT(E176,1)&amp;IF(COUNTIFS($A$2:A176,A176,$B$2:B176,B176,$E$2:E176,E176)&gt;1,"-"&amp;COUNTIFS($A$2:A176,A176,$B$2:B176,B176,$E$2:E176,E176),""))</x:f>
        <x:v>R15-A-S</x:v>
      </x:c>
      <x:c r="E176" s="99" t="str">
        <x:v>Small</x:v>
      </x:c>
      <x:c r="F176" s="99"/>
      <x:c r="G176" s="99"/>
      <x:c r="H176" s="99"/>
      <x:c r="I176" s="100" t="n">
        <x:v>0</x:v>
      </x:c>
      <x:c r="J176" s="99" t="str">
        <x:v>N/A</x:v>
      </x:c>
      <x:c r="K176" s="99" t="str">
        <x:v>N/A</x:v>
      </x:c>
      <x:c r="L176" s="99" t="str">
        <x:v>N/A</x:v>
      </x:c>
      <x:c r="M176" s="99" t="str">
        <x:v>N/A</x:v>
      </x:c>
      <x:c r="N176" s="99" t="str">
        <x:v>N/A</x:v>
      </x:c>
      <x:c r="O176" s="96" t="str">
        <x:f>IF(E176="","",IF(E176="Small",IF(OR(F176="",G176="",H176=""),"",IF(AND(F176="Yes",G176="Small",H176="Skip"),"Yes","No")),IF(OR(E176="Normal",E176="Large"),IF(OR(F176="",G176="",H176="",K176="",L176="",M176="",N176=""),"",IF(AND(F176="Yes",G176=E176,H176="Pick",K176="Yes",L176="No",M176=IF(E176="Normal","Normal_Bin","Large_Bin"),N176="Yes"),"Yes","No")),"")))</x:f>
      </x:c>
      <x:c r="P176" s="99" t="str">
        <x:v>NONE</x:v>
      </x:c>
      <x:c r="Q176" s="101"/>
      <x:c r="R176" s="102"/>
    </x:row>
    <x:row r="177">
      <x:c r="A177" s="97" t="n">
        <x:v>15</x:v>
      </x:c>
      <x:c r="B177" s="98" t="str">
        <x:v>A</x:v>
      </x:c>
      <x:c r="C177" s="97" t="n">
        <x:v>3</x:v>
      </x:c>
      <x:c r="D177" s="96" t="str">
        <x:f>IF(OR(A177="",B177="",E177=""),"","R"&amp;TEXT(A177,"00")&amp;"-"&amp;B177&amp;"-"&amp;LEFT(E177,1)&amp;IF(COUNTIFS($A$2:A177,A177,$B$2:B177,B177,$E$2:E177,E177)&gt;1,"-"&amp;COUNTIFS($A$2:A177,A177,$B$2:B177,B177,$E$2:E177,E177),""))</x:f>
        <x:v>R15-A-N</x:v>
      </x:c>
      <x:c r="E177" s="99" t="str">
        <x:v>Normal</x:v>
      </x:c>
      <x:c r="F177" s="99"/>
      <x:c r="G177" s="99"/>
      <x:c r="H177" s="99"/>
      <x:c r="I177" s="100"/>
      <x:c r="J177" s="99"/>
      <x:c r="K177" s="99"/>
      <x:c r="L177" s="99"/>
      <x:c r="M177" s="99"/>
      <x:c r="N177" s="99"/>
      <x:c r="O177" s="96" t="str">
        <x:f>IF(E177="","",IF(E177="Small",IF(OR(F177="",G177="",H177=""),"",IF(AND(F177="Yes",G177="Small",H177="Skip"),"Yes","No")),IF(OR(E177="Normal",E177="Large"),IF(OR(F177="",G177="",H177="",K177="",L177="",M177="",N177=""),"",IF(AND(F177="Yes",G177=E177,H177="Pick",K177="Yes",L177="No",M177=IF(E177="Normal","Normal_Bin","Large_Bin"),N177="Yes"),"Yes","No")),"")))</x:f>
      </x:c>
      <x:c r="P177" s="99" t="str">
        <x:v>NONE</x:v>
      </x:c>
      <x:c r="Q177" s="101"/>
      <x:c r="R177" s="102"/>
    </x:row>
    <x:row r="178">
      <x:c r="A178" s="97" t="n">
        <x:v>15</x:v>
      </x:c>
      <x:c r="B178" s="98" t="str">
        <x:v>A</x:v>
      </x:c>
      <x:c r="C178" s="97" t="n">
        <x:v>3</x:v>
      </x:c>
      <x:c r="D178" s="96" t="str">
        <x:f>IF(OR(A178="",B178="",E178=""),"","R"&amp;TEXT(A178,"00")&amp;"-"&amp;B178&amp;"-"&amp;LEFT(E178,1)&amp;IF(COUNTIFS($A$2:A178,A178,$B$2:B178,B178,$E$2:E178,E178)&gt;1,"-"&amp;COUNTIFS($A$2:A178,A178,$B$2:B178,B178,$E$2:E178,E178),""))</x:f>
        <x:v>R15-A-L</x:v>
      </x:c>
      <x:c r="E178" s="99" t="str">
        <x:v>Large</x:v>
      </x:c>
      <x:c r="F178" s="99"/>
      <x:c r="G178" s="99"/>
      <x:c r="H178" s="99"/>
      <x:c r="I178" s="100"/>
      <x:c r="J178" s="99"/>
      <x:c r="K178" s="99"/>
      <x:c r="L178" s="99"/>
      <x:c r="M178" s="99"/>
      <x:c r="N178" s="99"/>
      <x:c r="O178" s="96" t="str">
        <x:f>IF(E178="","",IF(E178="Small",IF(OR(F178="",G178="",H178=""),"",IF(AND(F178="Yes",G178="Small",H178="Skip"),"Yes","No")),IF(OR(E178="Normal",E178="Large"),IF(OR(F178="",G178="",H178="",K178="",L178="",M178="",N178=""),"",IF(AND(F178="Yes",G178=E178,H178="Pick",K178="Yes",L178="No",M178=IF(E178="Normal","Normal_Bin","Large_Bin"),N178="Yes"),"Yes","No")),"")))</x:f>
      </x:c>
      <x:c r="P178" s="99" t="str">
        <x:v>NONE</x:v>
      </x:c>
      <x:c r="Q178" s="101"/>
      <x:c r="R178" s="102"/>
    </x:row>
    <x:row r="179">
      <x:c r="A179" s="97" t="n">
        <x:v>15</x:v>
      </x:c>
      <x:c r="B179" s="98" t="str">
        <x:v>B</x:v>
      </x:c>
      <x:c r="C179" s="97" t="n">
        <x:v>4</x:v>
      </x:c>
      <x:c r="D179" s="96" t="str">
        <x:f>IF(OR(A179="",B179="",E179=""),"","R"&amp;TEXT(A179,"00")&amp;"-"&amp;B179&amp;"-"&amp;LEFT(E179,1)&amp;IF(COUNTIFS($A$2:A179,A179,$B$2:B179,B179,$E$2:E179,E179)&gt;1,"-"&amp;COUNTIFS($A$2:A179,A179,$B$2:B179,B179,$E$2:E179,E179),""))</x:f>
        <x:v>R15-B-S</x:v>
      </x:c>
      <x:c r="E179" s="99" t="str">
        <x:v>Small</x:v>
      </x:c>
      <x:c r="F179" s="99"/>
      <x:c r="G179" s="99"/>
      <x:c r="H179" s="99"/>
      <x:c r="I179" s="100" t="n">
        <x:v>0</x:v>
      </x:c>
      <x:c r="J179" s="99" t="str">
        <x:v>N/A</x:v>
      </x:c>
      <x:c r="K179" s="99" t="str">
        <x:v>N/A</x:v>
      </x:c>
      <x:c r="L179" s="99" t="str">
        <x:v>N/A</x:v>
      </x:c>
      <x:c r="M179" s="99" t="str">
        <x:v>N/A</x:v>
      </x:c>
      <x:c r="N179" s="99" t="str">
        <x:v>N/A</x:v>
      </x:c>
      <x:c r="O179" s="96" t="str">
        <x:f>IF(E179="","",IF(E179="Small",IF(OR(F179="",G179="",H179=""),"",IF(AND(F179="Yes",G179="Small",H179="Skip"),"Yes","No")),IF(OR(E179="Normal",E179="Large"),IF(OR(F179="",G179="",H179="",K179="",L179="",M179="",N179=""),"",IF(AND(F179="Yes",G179=E179,H179="Pick",K179="Yes",L179="No",M179=IF(E179="Normal","Normal_Bin","Large_Bin"),N179="Yes"),"Yes","No")),"")))</x:f>
      </x:c>
      <x:c r="P179" s="99" t="str">
        <x:v>NONE</x:v>
      </x:c>
      <x:c r="Q179" s="101"/>
      <x:c r="R179" s="102"/>
    </x:row>
    <x:row r="180">
      <x:c r="A180" s="97" t="n">
        <x:v>15</x:v>
      </x:c>
      <x:c r="B180" s="98" t="str">
        <x:v>B</x:v>
      </x:c>
      <x:c r="C180" s="97" t="n">
        <x:v>4</x:v>
      </x:c>
      <x:c r="D180" s="96" t="str">
        <x:f>IF(OR(A180="",B180="",E180=""),"","R"&amp;TEXT(A180,"00")&amp;"-"&amp;B180&amp;"-"&amp;LEFT(E180,1)&amp;IF(COUNTIFS($A$2:A180,A180,$B$2:B180,B180,$E$2:E180,E180)&gt;1,"-"&amp;COUNTIFS($A$2:A180,A180,$B$2:B180,B180,$E$2:E180,E180),""))</x:f>
        <x:v>R15-B-N</x:v>
      </x:c>
      <x:c r="E180" s="99" t="str">
        <x:v>Normal</x:v>
      </x:c>
      <x:c r="F180" s="99"/>
      <x:c r="G180" s="99"/>
      <x:c r="H180" s="99"/>
      <x:c r="I180" s="100"/>
      <x:c r="J180" s="99"/>
      <x:c r="K180" s="99"/>
      <x:c r="L180" s="99"/>
      <x:c r="M180" s="99"/>
      <x:c r="N180" s="99"/>
      <x:c r="O180" s="96" t="str">
        <x:f>IF(E180="","",IF(E180="Small",IF(OR(F180="",G180="",H180=""),"",IF(AND(F180="Yes",G180="Small",H180="Skip"),"Yes","No")),IF(OR(E180="Normal",E180="Large"),IF(OR(F180="",G180="",H180="",K180="",L180="",M180="",N180=""),"",IF(AND(F180="Yes",G180=E180,H180="Pick",K180="Yes",L180="No",M180=IF(E180="Normal","Normal_Bin","Large_Bin"),N180="Yes"),"Yes","No")),"")))</x:f>
      </x:c>
      <x:c r="P180" s="99" t="str">
        <x:v>NONE</x:v>
      </x:c>
      <x:c r="Q180" s="101"/>
      <x:c r="R180" s="102"/>
    </x:row>
    <x:row r="181">
      <x:c r="A181" s="97" t="n">
        <x:v>15</x:v>
      </x:c>
      <x:c r="B181" s="98" t="str">
        <x:v>B</x:v>
      </x:c>
      <x:c r="C181" s="97" t="n">
        <x:v>4</x:v>
      </x:c>
      <x:c r="D181" s="96" t="str">
        <x:f>IF(OR(A181="",B181="",E181=""),"","R"&amp;TEXT(A181,"00")&amp;"-"&amp;B181&amp;"-"&amp;LEFT(E181,1)&amp;IF(COUNTIFS($A$2:A181,A181,$B$2:B181,B181,$E$2:E181,E181)&gt;1,"-"&amp;COUNTIFS($A$2:A181,A181,$B$2:B181,B181,$E$2:E181,E181),""))</x:f>
        <x:v>R15-B-L</x:v>
      </x:c>
      <x:c r="E181" s="99" t="str">
        <x:v>Large</x:v>
      </x:c>
      <x:c r="F181" s="99"/>
      <x:c r="G181" s="99"/>
      <x:c r="H181" s="99"/>
      <x:c r="I181" s="100"/>
      <x:c r="J181" s="99"/>
      <x:c r="K181" s="99"/>
      <x:c r="L181" s="99"/>
      <x:c r="M181" s="99"/>
      <x:c r="N181" s="99"/>
      <x:c r="O181" s="96" t="str">
        <x:f>IF(E181="","",IF(E181="Small",IF(OR(F181="",G181="",H181=""),"",IF(AND(F181="Yes",G181="Small",H181="Skip"),"Yes","No")),IF(OR(E181="Normal",E181="Large"),IF(OR(F181="",G181="",H181="",K181="",L181="",M181="",N181=""),"",IF(AND(F181="Yes",G181=E181,H181="Pick",K181="Yes",L181="No",M181=IF(E181="Normal","Normal_Bin","Large_Bin"),N181="Yes"),"Yes","No")),"")))</x:f>
      </x:c>
      <x:c r="P181" s="99" t="str">
        <x:v>NONE</x:v>
      </x:c>
      <x:c r="Q181" s="101"/>
      <x:c r="R181" s="102"/>
    </x:row>
    <x:row r="182">
      <x:c r="A182" s="97" t="n">
        <x:v>16</x:v>
      </x:c>
      <x:c r="B182" s="98" t="str">
        <x:v>D</x:v>
      </x:c>
      <x:c r="C182" s="97" t="n">
        <x:v>1</x:v>
      </x:c>
      <x:c r="D182" s="96" t="str">
        <x:f>IF(OR(A182="",B182="",E182=""),"","R"&amp;TEXT(A182,"00")&amp;"-"&amp;B182&amp;"-"&amp;LEFT(E182,1)&amp;IF(COUNTIFS($A$2:A182,A182,$B$2:B182,B182,$E$2:E182,E182)&gt;1,"-"&amp;COUNTIFS($A$2:A182,A182,$B$2:B182,B182,$E$2:E182,E182),""))</x:f>
        <x:v>R16-D-S</x:v>
      </x:c>
      <x:c r="E182" s="99" t="str">
        <x:v>Small</x:v>
      </x:c>
      <x:c r="F182" s="99"/>
      <x:c r="G182" s="99"/>
      <x:c r="H182" s="99"/>
      <x:c r="I182" s="100" t="n">
        <x:v>0</x:v>
      </x:c>
      <x:c r="J182" s="99" t="str">
        <x:v>N/A</x:v>
      </x:c>
      <x:c r="K182" s="99" t="str">
        <x:v>N/A</x:v>
      </x:c>
      <x:c r="L182" s="99" t="str">
        <x:v>N/A</x:v>
      </x:c>
      <x:c r="M182" s="99" t="str">
        <x:v>N/A</x:v>
      </x:c>
      <x:c r="N182" s="99" t="str">
        <x:v>N/A</x:v>
      </x:c>
      <x:c r="O182" s="96" t="str">
        <x:f>IF(E182="","",IF(E182="Small",IF(OR(F182="",G182="",H182=""),"",IF(AND(F182="Yes",G182="Small",H182="Skip"),"Yes","No")),IF(OR(E182="Normal",E182="Large"),IF(OR(F182="",G182="",H182="",K182="",L182="",M182="",N182=""),"",IF(AND(F182="Yes",G182=E182,H182="Pick",K182="Yes",L182="No",M182=IF(E182="Normal","Normal_Bin","Large_Bin"),N182="Yes"),"Yes","No")),"")))</x:f>
      </x:c>
      <x:c r="P182" s="99" t="str">
        <x:v>NONE</x:v>
      </x:c>
      <x:c r="Q182" s="101"/>
      <x:c r="R182" s="102"/>
    </x:row>
    <x:row r="183">
      <x:c r="A183" s="97" t="n">
        <x:v>16</x:v>
      </x:c>
      <x:c r="B183" s="98" t="str">
        <x:v>D</x:v>
      </x:c>
      <x:c r="C183" s="97" t="n">
        <x:v>1</x:v>
      </x:c>
      <x:c r="D183" s="96" t="str">
        <x:f>IF(OR(A183="",B183="",E183=""),"","R"&amp;TEXT(A183,"00")&amp;"-"&amp;B183&amp;"-"&amp;LEFT(E183,1)&amp;IF(COUNTIFS($A$2:A183,A183,$B$2:B183,B183,$E$2:E183,E183)&gt;1,"-"&amp;COUNTIFS($A$2:A183,A183,$B$2:B183,B183,$E$2:E183,E183),""))</x:f>
        <x:v>R16-D-N</x:v>
      </x:c>
      <x:c r="E183" s="99" t="str">
        <x:v>Normal</x:v>
      </x:c>
      <x:c r="F183" s="99"/>
      <x:c r="G183" s="99"/>
      <x:c r="H183" s="99"/>
      <x:c r="I183" s="100"/>
      <x:c r="J183" s="99"/>
      <x:c r="K183" s="99"/>
      <x:c r="L183" s="99"/>
      <x:c r="M183" s="99"/>
      <x:c r="N183" s="99"/>
      <x:c r="O183" s="96" t="str">
        <x:f>IF(E183="","",IF(E183="Small",IF(OR(F183="",G183="",H183=""),"",IF(AND(F183="Yes",G183="Small",H183="Skip"),"Yes","No")),IF(OR(E183="Normal",E183="Large"),IF(OR(F183="",G183="",H183="",K183="",L183="",M183="",N183=""),"",IF(AND(F183="Yes",G183=E183,H183="Pick",K183="Yes",L183="No",M183=IF(E183="Normal","Normal_Bin","Large_Bin"),N183="Yes"),"Yes","No")),"")))</x:f>
      </x:c>
      <x:c r="P183" s="99" t="str">
        <x:v>NONE</x:v>
      </x:c>
      <x:c r="Q183" s="101"/>
      <x:c r="R183" s="102"/>
    </x:row>
    <x:row r="184">
      <x:c r="A184" s="97" t="n">
        <x:v>16</x:v>
      </x:c>
      <x:c r="B184" s="98" t="str">
        <x:v>D</x:v>
      </x:c>
      <x:c r="C184" s="97" t="n">
        <x:v>1</x:v>
      </x:c>
      <x:c r="D184" s="96" t="str">
        <x:f>IF(OR(A184="",B184="",E184=""),"","R"&amp;TEXT(A184,"00")&amp;"-"&amp;B184&amp;"-"&amp;LEFT(E184,1)&amp;IF(COUNTIFS($A$2:A184,A184,$B$2:B184,B184,$E$2:E184,E184)&gt;1,"-"&amp;COUNTIFS($A$2:A184,A184,$B$2:B184,B184,$E$2:E184,E184),""))</x:f>
        <x:v>R16-D-L</x:v>
      </x:c>
      <x:c r="E184" s="99" t="str">
        <x:v>Large</x:v>
      </x:c>
      <x:c r="F184" s="99"/>
      <x:c r="G184" s="99"/>
      <x:c r="H184" s="99"/>
      <x:c r="I184" s="100"/>
      <x:c r="J184" s="99"/>
      <x:c r="K184" s="99"/>
      <x:c r="L184" s="99"/>
      <x:c r="M184" s="99"/>
      <x:c r="N184" s="99"/>
      <x:c r="O184" s="96" t="str">
        <x:f>IF(E184="","",IF(E184="Small",IF(OR(F184="",G184="",H184=""),"",IF(AND(F184="Yes",G184="Small",H184="Skip"),"Yes","No")),IF(OR(E184="Normal",E184="Large"),IF(OR(F184="",G184="",H184="",K184="",L184="",M184="",N184=""),"",IF(AND(F184="Yes",G184=E184,H184="Pick",K184="Yes",L184="No",M184=IF(E184="Normal","Normal_Bin","Large_Bin"),N184="Yes"),"Yes","No")),"")))</x:f>
      </x:c>
      <x:c r="P184" s="99" t="str">
        <x:v>NONE</x:v>
      </x:c>
      <x:c r="Q184" s="101"/>
      <x:c r="R184" s="102"/>
    </x:row>
    <x:row r="185">
      <x:c r="A185" s="97" t="n">
        <x:v>16</x:v>
      </x:c>
      <x:c r="B185" s="98" t="str">
        <x:v>A</x:v>
      </x:c>
      <x:c r="C185" s="97" t="n">
        <x:v>2</x:v>
      </x:c>
      <x:c r="D185" s="96" t="str">
        <x:f>IF(OR(A185="",B185="",E185=""),"","R"&amp;TEXT(A185,"00")&amp;"-"&amp;B185&amp;"-"&amp;LEFT(E185,1)&amp;IF(COUNTIFS($A$2:A185,A185,$B$2:B185,B185,$E$2:E185,E185)&gt;1,"-"&amp;COUNTIFS($A$2:A185,A185,$B$2:B185,B185,$E$2:E185,E185),""))</x:f>
        <x:v>R16-A-S</x:v>
      </x:c>
      <x:c r="E185" s="99" t="str">
        <x:v>Small</x:v>
      </x:c>
      <x:c r="F185" s="99"/>
      <x:c r="G185" s="99"/>
      <x:c r="H185" s="99"/>
      <x:c r="I185" s="100" t="n">
        <x:v>0</x:v>
      </x:c>
      <x:c r="J185" s="99" t="str">
        <x:v>N/A</x:v>
      </x:c>
      <x:c r="K185" s="99" t="str">
        <x:v>N/A</x:v>
      </x:c>
      <x:c r="L185" s="99" t="str">
        <x:v>N/A</x:v>
      </x:c>
      <x:c r="M185" s="99" t="str">
        <x:v>N/A</x:v>
      </x:c>
      <x:c r="N185" s="99" t="str">
        <x:v>N/A</x:v>
      </x:c>
      <x:c r="O185" s="96" t="str">
        <x:f>IF(E185="","",IF(E185="Small",IF(OR(F185="",G185="",H185=""),"",IF(AND(F185="Yes",G185="Small",H185="Skip"),"Yes","No")),IF(OR(E185="Normal",E185="Large"),IF(OR(F185="",G185="",H185="",K185="",L185="",M185="",N185=""),"",IF(AND(F185="Yes",G185=E185,H185="Pick",K185="Yes",L185="No",M185=IF(E185="Normal","Normal_Bin","Large_Bin"),N185="Yes"),"Yes","No")),"")))</x:f>
      </x:c>
      <x:c r="P185" s="99" t="str">
        <x:v>NONE</x:v>
      </x:c>
      <x:c r="Q185" s="101"/>
      <x:c r="R185" s="102"/>
    </x:row>
    <x:row r="186">
      <x:c r="A186" s="97" t="n">
        <x:v>16</x:v>
      </x:c>
      <x:c r="B186" s="98" t="str">
        <x:v>A</x:v>
      </x:c>
      <x:c r="C186" s="97" t="n">
        <x:v>2</x:v>
      </x:c>
      <x:c r="D186" s="96" t="str">
        <x:f>IF(OR(A186="",B186="",E186=""),"","R"&amp;TEXT(A186,"00")&amp;"-"&amp;B186&amp;"-"&amp;LEFT(E186,1)&amp;IF(COUNTIFS($A$2:A186,A186,$B$2:B186,B186,$E$2:E186,E186)&gt;1,"-"&amp;COUNTIFS($A$2:A186,A186,$B$2:B186,B186,$E$2:E186,E186),""))</x:f>
        <x:v>R16-A-N</x:v>
      </x:c>
      <x:c r="E186" s="99" t="str">
        <x:v>Normal</x:v>
      </x:c>
      <x:c r="F186" s="99"/>
      <x:c r="G186" s="99"/>
      <x:c r="H186" s="99"/>
      <x:c r="I186" s="100"/>
      <x:c r="J186" s="99"/>
      <x:c r="K186" s="99"/>
      <x:c r="L186" s="99"/>
      <x:c r="M186" s="99"/>
      <x:c r="N186" s="99"/>
      <x:c r="O186" s="96" t="str">
        <x:f>IF(E186="","",IF(E186="Small",IF(OR(F186="",G186="",H186=""),"",IF(AND(F186="Yes",G186="Small",H186="Skip"),"Yes","No")),IF(OR(E186="Normal",E186="Large"),IF(OR(F186="",G186="",H186="",K186="",L186="",M186="",N186=""),"",IF(AND(F186="Yes",G186=E186,H186="Pick",K186="Yes",L186="No",M186=IF(E186="Normal","Normal_Bin","Large_Bin"),N186="Yes"),"Yes","No")),"")))</x:f>
      </x:c>
      <x:c r="P186" s="99" t="str">
        <x:v>NONE</x:v>
      </x:c>
      <x:c r="Q186" s="101"/>
      <x:c r="R186" s="102"/>
    </x:row>
    <x:row r="187">
      <x:c r="A187" s="97" t="n">
        <x:v>16</x:v>
      </x:c>
      <x:c r="B187" s="98" t="str">
        <x:v>A</x:v>
      </x:c>
      <x:c r="C187" s="97" t="n">
        <x:v>2</x:v>
      </x:c>
      <x:c r="D187" s="96" t="str">
        <x:f>IF(OR(A187="",B187="",E187=""),"","R"&amp;TEXT(A187,"00")&amp;"-"&amp;B187&amp;"-"&amp;LEFT(E187,1)&amp;IF(COUNTIFS($A$2:A187,A187,$B$2:B187,B187,$E$2:E187,E187)&gt;1,"-"&amp;COUNTIFS($A$2:A187,A187,$B$2:B187,B187,$E$2:E187,E187),""))</x:f>
        <x:v>R16-A-L</x:v>
      </x:c>
      <x:c r="E187" s="99" t="str">
        <x:v>Large</x:v>
      </x:c>
      <x:c r="F187" s="99"/>
      <x:c r="G187" s="99"/>
      <x:c r="H187" s="99"/>
      <x:c r="I187" s="100"/>
      <x:c r="J187" s="99"/>
      <x:c r="K187" s="99"/>
      <x:c r="L187" s="99"/>
      <x:c r="M187" s="99"/>
      <x:c r="N187" s="99"/>
      <x:c r="O187" s="96" t="str">
        <x:f>IF(E187="","",IF(E187="Small",IF(OR(F187="",G187="",H187=""),"",IF(AND(F187="Yes",G187="Small",H187="Skip"),"Yes","No")),IF(OR(E187="Normal",E187="Large"),IF(OR(F187="",G187="",H187="",K187="",L187="",M187="",N187=""),"",IF(AND(F187="Yes",G187=E187,H187="Pick",K187="Yes",L187="No",M187=IF(E187="Normal","Normal_Bin","Large_Bin"),N187="Yes"),"Yes","No")),"")))</x:f>
      </x:c>
      <x:c r="P187" s="99" t="str">
        <x:v>NONE</x:v>
      </x:c>
      <x:c r="Q187" s="101"/>
      <x:c r="R187" s="102"/>
    </x:row>
    <x:row r="188">
      <x:c r="A188" s="97" t="n">
        <x:v>16</x:v>
      </x:c>
      <x:c r="B188" s="98" t="str">
        <x:v>B</x:v>
      </x:c>
      <x:c r="C188" s="97" t="n">
        <x:v>3</x:v>
      </x:c>
      <x:c r="D188" s="96" t="str">
        <x:f>IF(OR(A188="",B188="",E188=""),"","R"&amp;TEXT(A188,"00")&amp;"-"&amp;B188&amp;"-"&amp;LEFT(E188,1)&amp;IF(COUNTIFS($A$2:A188,A188,$B$2:B188,B188,$E$2:E188,E188)&gt;1,"-"&amp;COUNTIFS($A$2:A188,A188,$B$2:B188,B188,$E$2:E188,E188),""))</x:f>
        <x:v>R16-B-S</x:v>
      </x:c>
      <x:c r="E188" s="99" t="str">
        <x:v>Small</x:v>
      </x:c>
      <x:c r="F188" s="99"/>
      <x:c r="G188" s="99"/>
      <x:c r="H188" s="99"/>
      <x:c r="I188" s="100" t="n">
        <x:v>0</x:v>
      </x:c>
      <x:c r="J188" s="99" t="str">
        <x:v>N/A</x:v>
      </x:c>
      <x:c r="K188" s="99" t="str">
        <x:v>N/A</x:v>
      </x:c>
      <x:c r="L188" s="99" t="str">
        <x:v>N/A</x:v>
      </x:c>
      <x:c r="M188" s="99" t="str">
        <x:v>N/A</x:v>
      </x:c>
      <x:c r="N188" s="99" t="str">
        <x:v>N/A</x:v>
      </x:c>
      <x:c r="O188" s="96" t="str">
        <x:f>IF(E188="","",IF(E188="Small",IF(OR(F188="",G188="",H188=""),"",IF(AND(F188="Yes",G188="Small",H188="Skip"),"Yes","No")),IF(OR(E188="Normal",E188="Large"),IF(OR(F188="",G188="",H188="",K188="",L188="",M188="",N188=""),"",IF(AND(F188="Yes",G188=E188,H188="Pick",K188="Yes",L188="No",M188=IF(E188="Normal","Normal_Bin","Large_Bin"),N188="Yes"),"Yes","No")),"")))</x:f>
      </x:c>
      <x:c r="P188" s="99" t="str">
        <x:v>NONE</x:v>
      </x:c>
      <x:c r="Q188" s="101"/>
      <x:c r="R188" s="102"/>
    </x:row>
    <x:row r="189">
      <x:c r="A189" s="97" t="n">
        <x:v>16</x:v>
      </x:c>
      <x:c r="B189" s="98" t="str">
        <x:v>B</x:v>
      </x:c>
      <x:c r="C189" s="97" t="n">
        <x:v>3</x:v>
      </x:c>
      <x:c r="D189" s="96" t="str">
        <x:f>IF(OR(A189="",B189="",E189=""),"","R"&amp;TEXT(A189,"00")&amp;"-"&amp;B189&amp;"-"&amp;LEFT(E189,1)&amp;IF(COUNTIFS($A$2:A189,A189,$B$2:B189,B189,$E$2:E189,E189)&gt;1,"-"&amp;COUNTIFS($A$2:A189,A189,$B$2:B189,B189,$E$2:E189,E189),""))</x:f>
        <x:v>R16-B-N</x:v>
      </x:c>
      <x:c r="E189" s="99" t="str">
        <x:v>Normal</x:v>
      </x:c>
      <x:c r="F189" s="99"/>
      <x:c r="G189" s="99"/>
      <x:c r="H189" s="99"/>
      <x:c r="I189" s="100"/>
      <x:c r="J189" s="99"/>
      <x:c r="K189" s="99"/>
      <x:c r="L189" s="99"/>
      <x:c r="M189" s="99"/>
      <x:c r="N189" s="99"/>
      <x:c r="O189" s="96" t="str">
        <x:f>IF(E189="","",IF(E189="Small",IF(OR(F189="",G189="",H189=""),"",IF(AND(F189="Yes",G189="Small",H189="Skip"),"Yes","No")),IF(OR(E189="Normal",E189="Large"),IF(OR(F189="",G189="",H189="",K189="",L189="",M189="",N189=""),"",IF(AND(F189="Yes",G189=E189,H189="Pick",K189="Yes",L189="No",M189=IF(E189="Normal","Normal_Bin","Large_Bin"),N189="Yes"),"Yes","No")),"")))</x:f>
      </x:c>
      <x:c r="P189" s="99" t="str">
        <x:v>NONE</x:v>
      </x:c>
      <x:c r="Q189" s="101"/>
      <x:c r="R189" s="102"/>
    </x:row>
    <x:row r="190">
      <x:c r="A190" s="97" t="n">
        <x:v>16</x:v>
      </x:c>
      <x:c r="B190" s="98" t="str">
        <x:v>B</x:v>
      </x:c>
      <x:c r="C190" s="97" t="n">
        <x:v>3</x:v>
      </x:c>
      <x:c r="D190" s="96" t="str">
        <x:f>IF(OR(A190="",B190="",E190=""),"","R"&amp;TEXT(A190,"00")&amp;"-"&amp;B190&amp;"-"&amp;LEFT(E190,1)&amp;IF(COUNTIFS($A$2:A190,A190,$B$2:B190,B190,$E$2:E190,E190)&gt;1,"-"&amp;COUNTIFS($A$2:A190,A190,$B$2:B190,B190,$E$2:E190,E190),""))</x:f>
        <x:v>R16-B-L</x:v>
      </x:c>
      <x:c r="E190" s="99" t="str">
        <x:v>Large</x:v>
      </x:c>
      <x:c r="F190" s="99"/>
      <x:c r="G190" s="99"/>
      <x:c r="H190" s="99"/>
      <x:c r="I190" s="100"/>
      <x:c r="J190" s="99"/>
      <x:c r="K190" s="99"/>
      <x:c r="L190" s="99"/>
      <x:c r="M190" s="99"/>
      <x:c r="N190" s="99"/>
      <x:c r="O190" s="96" t="str">
        <x:f>IF(E190="","",IF(E190="Small",IF(OR(F190="",G190="",H190=""),"",IF(AND(F190="Yes",G190="Small",H190="Skip"),"Yes","No")),IF(OR(E190="Normal",E190="Large"),IF(OR(F190="",G190="",H190="",K190="",L190="",M190="",N190=""),"",IF(AND(F190="Yes",G190=E190,H190="Pick",K190="Yes",L190="No",M190=IF(E190="Normal","Normal_Bin","Large_Bin"),N190="Yes"),"Yes","No")),"")))</x:f>
      </x:c>
      <x:c r="P190" s="99" t="str">
        <x:v>NONE</x:v>
      </x:c>
      <x:c r="Q190" s="101"/>
      <x:c r="R190" s="102"/>
    </x:row>
    <x:row r="191">
      <x:c r="A191" s="97" t="n">
        <x:v>16</x:v>
      </x:c>
      <x:c r="B191" s="98" t="str">
        <x:v>C</x:v>
      </x:c>
      <x:c r="C191" s="97" t="n">
        <x:v>4</x:v>
      </x:c>
      <x:c r="D191" s="96" t="str">
        <x:f>IF(OR(A191="",B191="",E191=""),"","R"&amp;TEXT(A191,"00")&amp;"-"&amp;B191&amp;"-"&amp;LEFT(E191,1)&amp;IF(COUNTIFS($A$2:A191,A191,$B$2:B191,B191,$E$2:E191,E191)&gt;1,"-"&amp;COUNTIFS($A$2:A191,A191,$B$2:B191,B191,$E$2:E191,E191),""))</x:f>
        <x:v>R16-C-S</x:v>
      </x:c>
      <x:c r="E191" s="99" t="str">
        <x:v>Small</x:v>
      </x:c>
      <x:c r="F191" s="99"/>
      <x:c r="G191" s="99"/>
      <x:c r="H191" s="99"/>
      <x:c r="I191" s="100" t="n">
        <x:v>0</x:v>
      </x:c>
      <x:c r="J191" s="99" t="str">
        <x:v>N/A</x:v>
      </x:c>
      <x:c r="K191" s="99" t="str">
        <x:v>N/A</x:v>
      </x:c>
      <x:c r="L191" s="99" t="str">
        <x:v>N/A</x:v>
      </x:c>
      <x:c r="M191" s="99" t="str">
        <x:v>N/A</x:v>
      </x:c>
      <x:c r="N191" s="99" t="str">
        <x:v>N/A</x:v>
      </x:c>
      <x:c r="O191" s="96" t="str">
        <x:f>IF(E191="","",IF(E191="Small",IF(OR(F191="",G191="",H191=""),"",IF(AND(F191="Yes",G191="Small",H191="Skip"),"Yes","No")),IF(OR(E191="Normal",E191="Large"),IF(OR(F191="",G191="",H191="",K191="",L191="",M191="",N191=""),"",IF(AND(F191="Yes",G191=E191,H191="Pick",K191="Yes",L191="No",M191=IF(E191="Normal","Normal_Bin","Large_Bin"),N191="Yes"),"Yes","No")),"")))</x:f>
      </x:c>
      <x:c r="P191" s="99" t="str">
        <x:v>NONE</x:v>
      </x:c>
      <x:c r="Q191" s="101"/>
      <x:c r="R191" s="102"/>
    </x:row>
    <x:row r="192">
      <x:c r="A192" s="97" t="n">
        <x:v>16</x:v>
      </x:c>
      <x:c r="B192" s="98" t="str">
        <x:v>C</x:v>
      </x:c>
      <x:c r="C192" s="97" t="n">
        <x:v>4</x:v>
      </x:c>
      <x:c r="D192" s="96" t="str">
        <x:f>IF(OR(A192="",B192="",E192=""),"","R"&amp;TEXT(A192,"00")&amp;"-"&amp;B192&amp;"-"&amp;LEFT(E192,1)&amp;IF(COUNTIFS($A$2:A192,A192,$B$2:B192,B192,$E$2:E192,E192)&gt;1,"-"&amp;COUNTIFS($A$2:A192,A192,$B$2:B192,B192,$E$2:E192,E192),""))</x:f>
        <x:v>R16-C-N</x:v>
      </x:c>
      <x:c r="E192" s="99" t="str">
        <x:v>Normal</x:v>
      </x:c>
      <x:c r="F192" s="99"/>
      <x:c r="G192" s="99"/>
      <x:c r="H192" s="99"/>
      <x:c r="I192" s="100"/>
      <x:c r="J192" s="99"/>
      <x:c r="K192" s="99"/>
      <x:c r="L192" s="99"/>
      <x:c r="M192" s="99"/>
      <x:c r="N192" s="99"/>
      <x:c r="O192" s="96" t="str">
        <x:f>IF(E192="","",IF(E192="Small",IF(OR(F192="",G192="",H192=""),"",IF(AND(F192="Yes",G192="Small",H192="Skip"),"Yes","No")),IF(OR(E192="Normal",E192="Large"),IF(OR(F192="",G192="",H192="",K192="",L192="",M192="",N192=""),"",IF(AND(F192="Yes",G192=E192,H192="Pick",K192="Yes",L192="No",M192=IF(E192="Normal","Normal_Bin","Large_Bin"),N192="Yes"),"Yes","No")),"")))</x:f>
      </x:c>
      <x:c r="P192" s="99" t="str">
        <x:v>NONE</x:v>
      </x:c>
      <x:c r="Q192" s="101"/>
      <x:c r="R192" s="102"/>
    </x:row>
    <x:row r="193">
      <x:c r="A193" s="97" t="n">
        <x:v>16</x:v>
      </x:c>
      <x:c r="B193" s="98" t="str">
        <x:v>C</x:v>
      </x:c>
      <x:c r="C193" s="97" t="n">
        <x:v>4</x:v>
      </x:c>
      <x:c r="D193" s="96" t="str">
        <x:f>IF(OR(A193="",B193="",E193=""),"","R"&amp;TEXT(A193,"00")&amp;"-"&amp;B193&amp;"-"&amp;LEFT(E193,1)&amp;IF(COUNTIFS($A$2:A193,A193,$B$2:B193,B193,$E$2:E193,E193)&gt;1,"-"&amp;COUNTIFS($A$2:A193,A193,$B$2:B193,B193,$E$2:E193,E193),""))</x:f>
        <x:v>R16-C-L</x:v>
      </x:c>
      <x:c r="E193" s="99" t="str">
        <x:v>Large</x:v>
      </x:c>
      <x:c r="F193" s="99"/>
      <x:c r="G193" s="99"/>
      <x:c r="H193" s="99"/>
      <x:c r="I193" s="100"/>
      <x:c r="J193" s="99"/>
      <x:c r="K193" s="99"/>
      <x:c r="L193" s="99"/>
      <x:c r="M193" s="99"/>
      <x:c r="N193" s="99"/>
      <x:c r="O193" s="96" t="str">
        <x:f>IF(E193="","",IF(E193="Small",IF(OR(F193="",G193="",H193=""),"",IF(AND(F193="Yes",G193="Small",H193="Skip"),"Yes","No")),IF(OR(E193="Normal",E193="Large"),IF(OR(F193="",G193="",H193="",K193="",L193="",M193="",N193=""),"",IF(AND(F193="Yes",G193=E193,H193="Pick",K193="Yes",L193="No",M193=IF(E193="Normal","Normal_Bin","Large_Bin"),N193="Yes"),"Yes","No")),"")))</x:f>
      </x:c>
      <x:c r="P193" s="99" t="str">
        <x:v>NONE</x:v>
      </x:c>
      <x:c r="Q193" s="101"/>
      <x:c r="R193" s="102"/>
    </x:row>
    <x:row r="194">
      <x:c r="A194" s="97" t="n">
        <x:v>17</x:v>
      </x:c>
      <x:c r="B194" s="98" t="str">
        <x:v>A</x:v>
      </x:c>
      <x:c r="C194" s="97" t="n">
        <x:v>1</x:v>
      </x:c>
      <x:c r="D194" s="96" t="str">
        <x:f>IF(OR(A194="",B194="",E194=""),"","R"&amp;TEXT(A194,"00")&amp;"-"&amp;B194&amp;"-"&amp;LEFT(E194,1)&amp;IF(COUNTIFS($A$2:A194,A194,$B$2:B194,B194,$E$2:E194,E194)&gt;1,"-"&amp;COUNTIFS($A$2:A194,A194,$B$2:B194,B194,$E$2:E194,E194),""))</x:f>
        <x:v>R17-A-S</x:v>
      </x:c>
      <x:c r="E194" s="99" t="str">
        <x:v>Small</x:v>
      </x:c>
      <x:c r="F194" s="99"/>
      <x:c r="G194" s="99"/>
      <x:c r="H194" s="99"/>
      <x:c r="I194" s="100" t="n">
        <x:v>0</x:v>
      </x:c>
      <x:c r="J194" s="99" t="str">
        <x:v>N/A</x:v>
      </x:c>
      <x:c r="K194" s="99" t="str">
        <x:v>N/A</x:v>
      </x:c>
      <x:c r="L194" s="99" t="str">
        <x:v>N/A</x:v>
      </x:c>
      <x:c r="M194" s="99" t="str">
        <x:v>N/A</x:v>
      </x:c>
      <x:c r="N194" s="99" t="str">
        <x:v>N/A</x:v>
      </x:c>
      <x:c r="O194" s="96" t="str">
        <x:f>IF(E194="","",IF(E194="Small",IF(OR(F194="",G194="",H194=""),"",IF(AND(F194="Yes",G194="Small",H194="Skip"),"Yes","No")),IF(OR(E194="Normal",E194="Large"),IF(OR(F194="",G194="",H194="",K194="",L194="",M194="",N194=""),"",IF(AND(F194="Yes",G194=E194,H194="Pick",K194="Yes",L194="No",M194=IF(E194="Normal","Normal_Bin","Large_Bin"),N194="Yes"),"Yes","No")),"")))</x:f>
      </x:c>
      <x:c r="P194" s="99" t="str">
        <x:v>NONE</x:v>
      </x:c>
      <x:c r="Q194" s="101"/>
      <x:c r="R194" s="102"/>
    </x:row>
    <x:row r="195">
      <x:c r="A195" s="97" t="n">
        <x:v>17</x:v>
      </x:c>
      <x:c r="B195" s="98" t="str">
        <x:v>A</x:v>
      </x:c>
      <x:c r="C195" s="97" t="n">
        <x:v>1</x:v>
      </x:c>
      <x:c r="D195" s="96" t="str">
        <x:f>IF(OR(A195="",B195="",E195=""),"","R"&amp;TEXT(A195,"00")&amp;"-"&amp;B195&amp;"-"&amp;LEFT(E195,1)&amp;IF(COUNTIFS($A$2:A195,A195,$B$2:B195,B195,$E$2:E195,E195)&gt;1,"-"&amp;COUNTIFS($A$2:A195,A195,$B$2:B195,B195,$E$2:E195,E195),""))</x:f>
        <x:v>R17-A-N</x:v>
      </x:c>
      <x:c r="E195" s="99" t="str">
        <x:v>Normal</x:v>
      </x:c>
      <x:c r="F195" s="99"/>
      <x:c r="G195" s="99"/>
      <x:c r="H195" s="99"/>
      <x:c r="I195" s="100"/>
      <x:c r="J195" s="99"/>
      <x:c r="K195" s="99"/>
      <x:c r="L195" s="99"/>
      <x:c r="M195" s="99"/>
      <x:c r="N195" s="99"/>
      <x:c r="O195" s="96" t="str">
        <x:f>IF(E195="","",IF(E195="Small",IF(OR(F195="",G195="",H195=""),"",IF(AND(F195="Yes",G195="Small",H195="Skip"),"Yes","No")),IF(OR(E195="Normal",E195="Large"),IF(OR(F195="",G195="",H195="",K195="",L195="",M195="",N195=""),"",IF(AND(F195="Yes",G195=E195,H195="Pick",K195="Yes",L195="No",M195=IF(E195="Normal","Normal_Bin","Large_Bin"),N195="Yes"),"Yes","No")),"")))</x:f>
      </x:c>
      <x:c r="P195" s="99" t="str">
        <x:v>NONE</x:v>
      </x:c>
      <x:c r="Q195" s="101"/>
      <x:c r="R195" s="102"/>
    </x:row>
    <x:row r="196">
      <x:c r="A196" s="97" t="n">
        <x:v>17</x:v>
      </x:c>
      <x:c r="B196" s="98" t="str">
        <x:v>A</x:v>
      </x:c>
      <x:c r="C196" s="97" t="n">
        <x:v>1</x:v>
      </x:c>
      <x:c r="D196" s="96" t="str">
        <x:f>IF(OR(A196="",B196="",E196=""),"","R"&amp;TEXT(A196,"00")&amp;"-"&amp;B196&amp;"-"&amp;LEFT(E196,1)&amp;IF(COUNTIFS($A$2:A196,A196,$B$2:B196,B196,$E$2:E196,E196)&gt;1,"-"&amp;COUNTIFS($A$2:A196,A196,$B$2:B196,B196,$E$2:E196,E196),""))</x:f>
        <x:v>R17-A-L</x:v>
      </x:c>
      <x:c r="E196" s="99" t="str">
        <x:v>Large</x:v>
      </x:c>
      <x:c r="F196" s="99"/>
      <x:c r="G196" s="99"/>
      <x:c r="H196" s="99"/>
      <x:c r="I196" s="100"/>
      <x:c r="J196" s="99"/>
      <x:c r="K196" s="99"/>
      <x:c r="L196" s="99"/>
      <x:c r="M196" s="99"/>
      <x:c r="N196" s="99"/>
      <x:c r="O196" s="96" t="str">
        <x:f>IF(E196="","",IF(E196="Small",IF(OR(F196="",G196="",H196=""),"",IF(AND(F196="Yes",G196="Small",H196="Skip"),"Yes","No")),IF(OR(E196="Normal",E196="Large"),IF(OR(F196="",G196="",H196="",K196="",L196="",M196="",N196=""),"",IF(AND(F196="Yes",G196=E196,H196="Pick",K196="Yes",L196="No",M196=IF(E196="Normal","Normal_Bin","Large_Bin"),N196="Yes"),"Yes","No")),"")))</x:f>
      </x:c>
      <x:c r="P196" s="99" t="str">
        <x:v>NONE</x:v>
      </x:c>
      <x:c r="Q196" s="101"/>
      <x:c r="R196" s="102"/>
    </x:row>
    <x:row r="197">
      <x:c r="A197" s="97" t="n">
        <x:v>17</x:v>
      </x:c>
      <x:c r="B197" s="98" t="str">
        <x:v>B</x:v>
      </x:c>
      <x:c r="C197" s="97" t="n">
        <x:v>2</x:v>
      </x:c>
      <x:c r="D197" s="96" t="str">
        <x:f>IF(OR(A197="",B197="",E197=""),"","R"&amp;TEXT(A197,"00")&amp;"-"&amp;B197&amp;"-"&amp;LEFT(E197,1)&amp;IF(COUNTIFS($A$2:A197,A197,$B$2:B197,B197,$E$2:E197,E197)&gt;1,"-"&amp;COUNTIFS($A$2:A197,A197,$B$2:B197,B197,$E$2:E197,E197),""))</x:f>
        <x:v>R17-B-S</x:v>
      </x:c>
      <x:c r="E197" s="99" t="str">
        <x:v>Small</x:v>
      </x:c>
      <x:c r="F197" s="99"/>
      <x:c r="G197" s="99"/>
      <x:c r="H197" s="99"/>
      <x:c r="I197" s="100" t="n">
        <x:v>0</x:v>
      </x:c>
      <x:c r="J197" s="99" t="str">
        <x:v>N/A</x:v>
      </x:c>
      <x:c r="K197" s="99" t="str">
        <x:v>N/A</x:v>
      </x:c>
      <x:c r="L197" s="99" t="str">
        <x:v>N/A</x:v>
      </x:c>
      <x:c r="M197" s="99" t="str">
        <x:v>N/A</x:v>
      </x:c>
      <x:c r="N197" s="99" t="str">
        <x:v>N/A</x:v>
      </x:c>
      <x:c r="O197" s="96" t="str">
        <x:f>IF(E197="","",IF(E197="Small",IF(OR(F197="",G197="",H197=""),"",IF(AND(F197="Yes",G197="Small",H197="Skip"),"Yes","No")),IF(OR(E197="Normal",E197="Large"),IF(OR(F197="",G197="",H197="",K197="",L197="",M197="",N197=""),"",IF(AND(F197="Yes",G197=E197,H197="Pick",K197="Yes",L197="No",M197=IF(E197="Normal","Normal_Bin","Large_Bin"),N197="Yes"),"Yes","No")),"")))</x:f>
      </x:c>
      <x:c r="P197" s="99" t="str">
        <x:v>NONE</x:v>
      </x:c>
      <x:c r="Q197" s="101"/>
      <x:c r="R197" s="102"/>
    </x:row>
    <x:row r="198">
      <x:c r="A198" s="97" t="n">
        <x:v>17</x:v>
      </x:c>
      <x:c r="B198" s="98" t="str">
        <x:v>B</x:v>
      </x:c>
      <x:c r="C198" s="97" t="n">
        <x:v>2</x:v>
      </x:c>
      <x:c r="D198" s="96" t="str">
        <x:f>IF(OR(A198="",B198="",E198=""),"","R"&amp;TEXT(A198,"00")&amp;"-"&amp;B198&amp;"-"&amp;LEFT(E198,1)&amp;IF(COUNTIFS($A$2:A198,A198,$B$2:B198,B198,$E$2:E198,E198)&gt;1,"-"&amp;COUNTIFS($A$2:A198,A198,$B$2:B198,B198,$E$2:E198,E198),""))</x:f>
        <x:v>R17-B-N</x:v>
      </x:c>
      <x:c r="E198" s="99" t="str">
        <x:v>Normal</x:v>
      </x:c>
      <x:c r="F198" s="99"/>
      <x:c r="G198" s="99"/>
      <x:c r="H198" s="99"/>
      <x:c r="I198" s="100"/>
      <x:c r="J198" s="99"/>
      <x:c r="K198" s="99"/>
      <x:c r="L198" s="99"/>
      <x:c r="M198" s="99"/>
      <x:c r="N198" s="99"/>
      <x:c r="O198" s="96" t="str">
        <x:f>IF(E198="","",IF(E198="Small",IF(OR(F198="",G198="",H198=""),"",IF(AND(F198="Yes",G198="Small",H198="Skip"),"Yes","No")),IF(OR(E198="Normal",E198="Large"),IF(OR(F198="",G198="",H198="",K198="",L198="",M198="",N198=""),"",IF(AND(F198="Yes",G198=E198,H198="Pick",K198="Yes",L198="No",M198=IF(E198="Normal","Normal_Bin","Large_Bin"),N198="Yes"),"Yes","No")),"")))</x:f>
      </x:c>
      <x:c r="P198" s="99" t="str">
        <x:v>NONE</x:v>
      </x:c>
      <x:c r="Q198" s="101"/>
      <x:c r="R198" s="102"/>
    </x:row>
    <x:row r="199">
      <x:c r="A199" s="97" t="n">
        <x:v>17</x:v>
      </x:c>
      <x:c r="B199" s="98" t="str">
        <x:v>B</x:v>
      </x:c>
      <x:c r="C199" s="97" t="n">
        <x:v>2</x:v>
      </x:c>
      <x:c r="D199" s="96" t="str">
        <x:f>IF(OR(A199="",B199="",E199=""),"","R"&amp;TEXT(A199,"00")&amp;"-"&amp;B199&amp;"-"&amp;LEFT(E199,1)&amp;IF(COUNTIFS($A$2:A199,A199,$B$2:B199,B199,$E$2:E199,E199)&gt;1,"-"&amp;COUNTIFS($A$2:A199,A199,$B$2:B199,B199,$E$2:E199,E199),""))</x:f>
        <x:v>R17-B-L</x:v>
      </x:c>
      <x:c r="E199" s="99" t="str">
        <x:v>Large</x:v>
      </x:c>
      <x:c r="F199" s="99"/>
      <x:c r="G199" s="99"/>
      <x:c r="H199" s="99"/>
      <x:c r="I199" s="100"/>
      <x:c r="J199" s="99"/>
      <x:c r="K199" s="99"/>
      <x:c r="L199" s="99"/>
      <x:c r="M199" s="99"/>
      <x:c r="N199" s="99"/>
      <x:c r="O199" s="96" t="str">
        <x:f>IF(E199="","",IF(E199="Small",IF(OR(F199="",G199="",H199=""),"",IF(AND(F199="Yes",G199="Small",H199="Skip"),"Yes","No")),IF(OR(E199="Normal",E199="Large"),IF(OR(F199="",G199="",H199="",K199="",L199="",M199="",N199=""),"",IF(AND(F199="Yes",G199=E199,H199="Pick",K199="Yes",L199="No",M199=IF(E199="Normal","Normal_Bin","Large_Bin"),N199="Yes"),"Yes","No")),"")))</x:f>
      </x:c>
      <x:c r="P199" s="99" t="str">
        <x:v>NONE</x:v>
      </x:c>
      <x:c r="Q199" s="101"/>
      <x:c r="R199" s="102"/>
    </x:row>
    <x:row r="200">
      <x:c r="A200" s="97" t="n">
        <x:v>17</x:v>
      </x:c>
      <x:c r="B200" s="98" t="str">
        <x:v>C</x:v>
      </x:c>
      <x:c r="C200" s="97" t="n">
        <x:v>3</x:v>
      </x:c>
      <x:c r="D200" s="96" t="str">
        <x:f>IF(OR(A200="",B200="",E200=""),"","R"&amp;TEXT(A200,"00")&amp;"-"&amp;B200&amp;"-"&amp;LEFT(E200,1)&amp;IF(COUNTIFS($A$2:A200,A200,$B$2:B200,B200,$E$2:E200,E200)&gt;1,"-"&amp;COUNTIFS($A$2:A200,A200,$B$2:B200,B200,$E$2:E200,E200),""))</x:f>
        <x:v>R17-C-S</x:v>
      </x:c>
      <x:c r="E200" s="99" t="str">
        <x:v>Small</x:v>
      </x:c>
      <x:c r="F200" s="99"/>
      <x:c r="G200" s="99"/>
      <x:c r="H200" s="99"/>
      <x:c r="I200" s="100" t="n">
        <x:v>0</x:v>
      </x:c>
      <x:c r="J200" s="99" t="str">
        <x:v>N/A</x:v>
      </x:c>
      <x:c r="K200" s="99" t="str">
        <x:v>N/A</x:v>
      </x:c>
      <x:c r="L200" s="99" t="str">
        <x:v>N/A</x:v>
      </x:c>
      <x:c r="M200" s="99" t="str">
        <x:v>N/A</x:v>
      </x:c>
      <x:c r="N200" s="99" t="str">
        <x:v>N/A</x:v>
      </x:c>
      <x:c r="O200" s="96" t="str">
        <x:f>IF(E200="","",IF(E200="Small",IF(OR(F200="",G200="",H200=""),"",IF(AND(F200="Yes",G200="Small",H200="Skip"),"Yes","No")),IF(OR(E200="Normal",E200="Large"),IF(OR(F200="",G200="",H200="",K200="",L200="",M200="",N200=""),"",IF(AND(F200="Yes",G200=E200,H200="Pick",K200="Yes",L200="No",M200=IF(E200="Normal","Normal_Bin","Large_Bin"),N200="Yes"),"Yes","No")),"")))</x:f>
      </x:c>
      <x:c r="P200" s="99" t="str">
        <x:v>NONE</x:v>
      </x:c>
      <x:c r="Q200" s="101"/>
      <x:c r="R200" s="102"/>
    </x:row>
    <x:row r="201">
      <x:c r="A201" s="97" t="n">
        <x:v>17</x:v>
      </x:c>
      <x:c r="B201" s="98" t="str">
        <x:v>C</x:v>
      </x:c>
      <x:c r="C201" s="97" t="n">
        <x:v>3</x:v>
      </x:c>
      <x:c r="D201" s="96" t="str">
        <x:f>IF(OR(A201="",B201="",E201=""),"","R"&amp;TEXT(A201,"00")&amp;"-"&amp;B201&amp;"-"&amp;LEFT(E201,1)&amp;IF(COUNTIFS($A$2:A201,A201,$B$2:B201,B201,$E$2:E201,E201)&gt;1,"-"&amp;COUNTIFS($A$2:A201,A201,$B$2:B201,B201,$E$2:E201,E201),""))</x:f>
        <x:v>R17-C-N</x:v>
      </x:c>
      <x:c r="E201" s="99" t="str">
        <x:v>Normal</x:v>
      </x:c>
      <x:c r="F201" s="99"/>
      <x:c r="G201" s="99"/>
      <x:c r="H201" s="99"/>
      <x:c r="I201" s="100"/>
      <x:c r="J201" s="99"/>
      <x:c r="K201" s="99"/>
      <x:c r="L201" s="99"/>
      <x:c r="M201" s="99"/>
      <x:c r="N201" s="99"/>
      <x:c r="O201" s="96" t="str">
        <x:f>IF(E201="","",IF(E201="Small",IF(OR(F201="",G201="",H201=""),"",IF(AND(F201="Yes",G201="Small",H201="Skip"),"Yes","No")),IF(OR(E201="Normal",E201="Large"),IF(OR(F201="",G201="",H201="",K201="",L201="",M201="",N201=""),"",IF(AND(F201="Yes",G201=E201,H201="Pick",K201="Yes",L201="No",M201=IF(E201="Normal","Normal_Bin","Large_Bin"),N201="Yes"),"Yes","No")),"")))</x:f>
      </x:c>
      <x:c r="P201" s="99" t="str">
        <x:v>NONE</x:v>
      </x:c>
      <x:c r="Q201" s="101"/>
      <x:c r="R201" s="102"/>
    </x:row>
    <x:row r="202">
      <x:c r="A202" s="97" t="n">
        <x:v>17</x:v>
      </x:c>
      <x:c r="B202" s="98" t="str">
        <x:v>C</x:v>
      </x:c>
      <x:c r="C202" s="97" t="n">
        <x:v>3</x:v>
      </x:c>
      <x:c r="D202" s="96" t="str">
        <x:f>IF(OR(A202="",B202="",E202=""),"","R"&amp;TEXT(A202,"00")&amp;"-"&amp;B202&amp;"-"&amp;LEFT(E202,1)&amp;IF(COUNTIFS($A$2:A202,A202,$B$2:B202,B202,$E$2:E202,E202)&gt;1,"-"&amp;COUNTIFS($A$2:A202,A202,$B$2:B202,B202,$E$2:E202,E202),""))</x:f>
        <x:v>R17-C-L</x:v>
      </x:c>
      <x:c r="E202" s="99" t="str">
        <x:v>Large</x:v>
      </x:c>
      <x:c r="F202" s="99"/>
      <x:c r="G202" s="99"/>
      <x:c r="H202" s="99"/>
      <x:c r="I202" s="100"/>
      <x:c r="J202" s="99"/>
      <x:c r="K202" s="99"/>
      <x:c r="L202" s="99"/>
      <x:c r="M202" s="99"/>
      <x:c r="N202" s="99"/>
      <x:c r="O202" s="96" t="str">
        <x:f>IF(E202="","",IF(E202="Small",IF(OR(F202="",G202="",H202=""),"",IF(AND(F202="Yes",G202="Small",H202="Skip"),"Yes","No")),IF(OR(E202="Normal",E202="Large"),IF(OR(F202="",G202="",H202="",K202="",L202="",M202="",N202=""),"",IF(AND(F202="Yes",G202=E202,H202="Pick",K202="Yes",L202="No",M202=IF(E202="Normal","Normal_Bin","Large_Bin"),N202="Yes"),"Yes","No")),"")))</x:f>
      </x:c>
      <x:c r="P202" s="99" t="str">
        <x:v>NONE</x:v>
      </x:c>
      <x:c r="Q202" s="101"/>
      <x:c r="R202" s="102"/>
    </x:row>
    <x:row r="203">
      <x:c r="A203" s="97" t="n">
        <x:v>17</x:v>
      </x:c>
      <x:c r="B203" s="98" t="str">
        <x:v>D</x:v>
      </x:c>
      <x:c r="C203" s="97" t="n">
        <x:v>4</x:v>
      </x:c>
      <x:c r="D203" s="96" t="str">
        <x:f>IF(OR(A203="",B203="",E203=""),"","R"&amp;TEXT(A203,"00")&amp;"-"&amp;B203&amp;"-"&amp;LEFT(E203,1)&amp;IF(COUNTIFS($A$2:A203,A203,$B$2:B203,B203,$E$2:E203,E203)&gt;1,"-"&amp;COUNTIFS($A$2:A203,A203,$B$2:B203,B203,$E$2:E203,E203),""))</x:f>
        <x:v>R17-D-S</x:v>
      </x:c>
      <x:c r="E203" s="99" t="str">
        <x:v>Small</x:v>
      </x:c>
      <x:c r="F203" s="99"/>
      <x:c r="G203" s="99"/>
      <x:c r="H203" s="99"/>
      <x:c r="I203" s="100" t="n">
        <x:v>0</x:v>
      </x:c>
      <x:c r="J203" s="99" t="str">
        <x:v>N/A</x:v>
      </x:c>
      <x:c r="K203" s="99" t="str">
        <x:v>N/A</x:v>
      </x:c>
      <x:c r="L203" s="99" t="str">
        <x:v>N/A</x:v>
      </x:c>
      <x:c r="M203" s="99" t="str">
        <x:v>N/A</x:v>
      </x:c>
      <x:c r="N203" s="99" t="str">
        <x:v>N/A</x:v>
      </x:c>
      <x:c r="O203" s="96" t="str">
        <x:f>IF(E203="","",IF(E203="Small",IF(OR(F203="",G203="",H203=""),"",IF(AND(F203="Yes",G203="Small",H203="Skip"),"Yes","No")),IF(OR(E203="Normal",E203="Large"),IF(OR(F203="",G203="",H203="",K203="",L203="",M203="",N203=""),"",IF(AND(F203="Yes",G203=E203,H203="Pick",K203="Yes",L203="No",M203=IF(E203="Normal","Normal_Bin","Large_Bin"),N203="Yes"),"Yes","No")),"")))</x:f>
      </x:c>
      <x:c r="P203" s="99" t="str">
        <x:v>NONE</x:v>
      </x:c>
      <x:c r="Q203" s="101"/>
      <x:c r="R203" s="102"/>
    </x:row>
    <x:row r="204">
      <x:c r="A204" s="97" t="n">
        <x:v>17</x:v>
      </x:c>
      <x:c r="B204" s="98" t="str">
        <x:v>D</x:v>
      </x:c>
      <x:c r="C204" s="97" t="n">
        <x:v>4</x:v>
      </x:c>
      <x:c r="D204" s="96" t="str">
        <x:f>IF(OR(A204="",B204="",E204=""),"","R"&amp;TEXT(A204,"00")&amp;"-"&amp;B204&amp;"-"&amp;LEFT(E204,1)&amp;IF(COUNTIFS($A$2:A204,A204,$B$2:B204,B204,$E$2:E204,E204)&gt;1,"-"&amp;COUNTIFS($A$2:A204,A204,$B$2:B204,B204,$E$2:E204,E204),""))</x:f>
        <x:v>R17-D-N</x:v>
      </x:c>
      <x:c r="E204" s="99" t="str">
        <x:v>Normal</x:v>
      </x:c>
      <x:c r="F204" s="99"/>
      <x:c r="G204" s="99"/>
      <x:c r="H204" s="99"/>
      <x:c r="I204" s="100"/>
      <x:c r="J204" s="99"/>
      <x:c r="K204" s="99"/>
      <x:c r="L204" s="99"/>
      <x:c r="M204" s="99"/>
      <x:c r="N204" s="99"/>
      <x:c r="O204" s="96" t="str">
        <x:f>IF(E204="","",IF(E204="Small",IF(OR(F204="",G204="",H204=""),"",IF(AND(F204="Yes",G204="Small",H204="Skip"),"Yes","No")),IF(OR(E204="Normal",E204="Large"),IF(OR(F204="",G204="",H204="",K204="",L204="",M204="",N204=""),"",IF(AND(F204="Yes",G204=E204,H204="Pick",K204="Yes",L204="No",M204=IF(E204="Normal","Normal_Bin","Large_Bin"),N204="Yes"),"Yes","No")),"")))</x:f>
      </x:c>
      <x:c r="P204" s="99" t="str">
        <x:v>NONE</x:v>
      </x:c>
      <x:c r="Q204" s="101"/>
      <x:c r="R204" s="102"/>
    </x:row>
    <x:row r="205">
      <x:c r="A205" s="97" t="n">
        <x:v>17</x:v>
      </x:c>
      <x:c r="B205" s="98" t="str">
        <x:v>D</x:v>
      </x:c>
      <x:c r="C205" s="97" t="n">
        <x:v>4</x:v>
      </x:c>
      <x:c r="D205" s="96" t="str">
        <x:f>IF(OR(A205="",B205="",E205=""),"","R"&amp;TEXT(A205,"00")&amp;"-"&amp;B205&amp;"-"&amp;LEFT(E205,1)&amp;IF(COUNTIFS($A$2:A205,A205,$B$2:B205,B205,$E$2:E205,E205)&gt;1,"-"&amp;COUNTIFS($A$2:A205,A205,$B$2:B205,B205,$E$2:E205,E205),""))</x:f>
        <x:v>R17-D-L</x:v>
      </x:c>
      <x:c r="E205" s="99" t="str">
        <x:v>Large</x:v>
      </x:c>
      <x:c r="F205" s="99"/>
      <x:c r="G205" s="99"/>
      <x:c r="H205" s="99"/>
      <x:c r="I205" s="100"/>
      <x:c r="J205" s="99"/>
      <x:c r="K205" s="99"/>
      <x:c r="L205" s="99"/>
      <x:c r="M205" s="99"/>
      <x:c r="N205" s="99"/>
      <x:c r="O205" s="96" t="str">
        <x:f>IF(E205="","",IF(E205="Small",IF(OR(F205="",G205="",H205=""),"",IF(AND(F205="Yes",G205="Small",H205="Skip"),"Yes","No")),IF(OR(E205="Normal",E205="Large"),IF(OR(F205="",G205="",H205="",K205="",L205="",M205="",N205=""),"",IF(AND(F205="Yes",G205=E205,H205="Pick",K205="Yes",L205="No",M205=IF(E205="Normal","Normal_Bin","Large_Bin"),N205="Yes"),"Yes","No")),"")))</x:f>
      </x:c>
      <x:c r="P205" s="99" t="str">
        <x:v>NONE</x:v>
      </x:c>
      <x:c r="Q205" s="101"/>
      <x:c r="R205" s="102"/>
    </x:row>
    <x:row r="206">
      <x:c r="A206" s="97" t="n">
        <x:v>18</x:v>
      </x:c>
      <x:c r="B206" s="98" t="str">
        <x:v>B</x:v>
      </x:c>
      <x:c r="C206" s="97" t="n">
        <x:v>1</x:v>
      </x:c>
      <x:c r="D206" s="96" t="str">
        <x:f>IF(OR(A206="",B206="",E206=""),"","R"&amp;TEXT(A206,"00")&amp;"-"&amp;B206&amp;"-"&amp;LEFT(E206,1)&amp;IF(COUNTIFS($A$2:A206,A206,$B$2:B206,B206,$E$2:E206,E206)&gt;1,"-"&amp;COUNTIFS($A$2:A206,A206,$B$2:B206,B206,$E$2:E206,E206),""))</x:f>
        <x:v>R18-B-S</x:v>
      </x:c>
      <x:c r="E206" s="99" t="str">
        <x:v>Small</x:v>
      </x:c>
      <x:c r="F206" s="99"/>
      <x:c r="G206" s="99"/>
      <x:c r="H206" s="99"/>
      <x:c r="I206" s="100" t="n">
        <x:v>0</x:v>
      </x:c>
      <x:c r="J206" s="99" t="str">
        <x:v>N/A</x:v>
      </x:c>
      <x:c r="K206" s="99" t="str">
        <x:v>N/A</x:v>
      </x:c>
      <x:c r="L206" s="99" t="str">
        <x:v>N/A</x:v>
      </x:c>
      <x:c r="M206" s="99" t="str">
        <x:v>N/A</x:v>
      </x:c>
      <x:c r="N206" s="99" t="str">
        <x:v>N/A</x:v>
      </x:c>
      <x:c r="O206" s="96" t="str">
        <x:f>IF(E206="","",IF(E206="Small",IF(OR(F206="",G206="",H206=""),"",IF(AND(F206="Yes",G206="Small",H206="Skip"),"Yes","No")),IF(OR(E206="Normal",E206="Large"),IF(OR(F206="",G206="",H206="",K206="",L206="",M206="",N206=""),"",IF(AND(F206="Yes",G206=E206,H206="Pick",K206="Yes",L206="No",M206=IF(E206="Normal","Normal_Bin","Large_Bin"),N206="Yes"),"Yes","No")),"")))</x:f>
      </x:c>
      <x:c r="P206" s="99" t="str">
        <x:v>NONE</x:v>
      </x:c>
      <x:c r="Q206" s="101"/>
      <x:c r="R206" s="102"/>
    </x:row>
    <x:row r="207">
      <x:c r="A207" s="97" t="n">
        <x:v>18</x:v>
      </x:c>
      <x:c r="B207" s="98" t="str">
        <x:v>B</x:v>
      </x:c>
      <x:c r="C207" s="97" t="n">
        <x:v>1</x:v>
      </x:c>
      <x:c r="D207" s="96" t="str">
        <x:f>IF(OR(A207="",B207="",E207=""),"","R"&amp;TEXT(A207,"00")&amp;"-"&amp;B207&amp;"-"&amp;LEFT(E207,1)&amp;IF(COUNTIFS($A$2:A207,A207,$B$2:B207,B207,$E$2:E207,E207)&gt;1,"-"&amp;COUNTIFS($A$2:A207,A207,$B$2:B207,B207,$E$2:E207,E207),""))</x:f>
        <x:v>R18-B-N</x:v>
      </x:c>
      <x:c r="E207" s="99" t="str">
        <x:v>Normal</x:v>
      </x:c>
      <x:c r="F207" s="99"/>
      <x:c r="G207" s="99"/>
      <x:c r="H207" s="99"/>
      <x:c r="I207" s="100"/>
      <x:c r="J207" s="99"/>
      <x:c r="K207" s="99"/>
      <x:c r="L207" s="99"/>
      <x:c r="M207" s="99"/>
      <x:c r="N207" s="99"/>
      <x:c r="O207" s="96" t="str">
        <x:f>IF(E207="","",IF(E207="Small",IF(OR(F207="",G207="",H207=""),"",IF(AND(F207="Yes",G207="Small",H207="Skip"),"Yes","No")),IF(OR(E207="Normal",E207="Large"),IF(OR(F207="",G207="",H207="",K207="",L207="",M207="",N207=""),"",IF(AND(F207="Yes",G207=E207,H207="Pick",K207="Yes",L207="No",M207=IF(E207="Normal","Normal_Bin","Large_Bin"),N207="Yes"),"Yes","No")),"")))</x:f>
      </x:c>
      <x:c r="P207" s="99" t="str">
        <x:v>NONE</x:v>
      </x:c>
      <x:c r="Q207" s="101"/>
      <x:c r="R207" s="102"/>
    </x:row>
    <x:row r="208">
      <x:c r="A208" s="97" t="n">
        <x:v>18</x:v>
      </x:c>
      <x:c r="B208" s="98" t="str">
        <x:v>B</x:v>
      </x:c>
      <x:c r="C208" s="97" t="n">
        <x:v>1</x:v>
      </x:c>
      <x:c r="D208" s="96" t="str">
        <x:f>IF(OR(A208="",B208="",E208=""),"","R"&amp;TEXT(A208,"00")&amp;"-"&amp;B208&amp;"-"&amp;LEFT(E208,1)&amp;IF(COUNTIFS($A$2:A208,A208,$B$2:B208,B208,$E$2:E208,E208)&gt;1,"-"&amp;COUNTIFS($A$2:A208,A208,$B$2:B208,B208,$E$2:E208,E208),""))</x:f>
        <x:v>R18-B-L</x:v>
      </x:c>
      <x:c r="E208" s="99" t="str">
        <x:v>Large</x:v>
      </x:c>
      <x:c r="F208" s="99"/>
      <x:c r="G208" s="99"/>
      <x:c r="H208" s="99"/>
      <x:c r="I208" s="100"/>
      <x:c r="J208" s="99"/>
      <x:c r="K208" s="99"/>
      <x:c r="L208" s="99"/>
      <x:c r="M208" s="99"/>
      <x:c r="N208" s="99"/>
      <x:c r="O208" s="96" t="str">
        <x:f>IF(E208="","",IF(E208="Small",IF(OR(F208="",G208="",H208=""),"",IF(AND(F208="Yes",G208="Small",H208="Skip"),"Yes","No")),IF(OR(E208="Normal",E208="Large"),IF(OR(F208="",G208="",H208="",K208="",L208="",M208="",N208=""),"",IF(AND(F208="Yes",G208=E208,H208="Pick",K208="Yes",L208="No",M208=IF(E208="Normal","Normal_Bin","Large_Bin"),N208="Yes"),"Yes","No")),"")))</x:f>
      </x:c>
      <x:c r="P208" s="99" t="str">
        <x:v>NONE</x:v>
      </x:c>
      <x:c r="Q208" s="101"/>
      <x:c r="R208" s="102"/>
    </x:row>
    <x:row r="209">
      <x:c r="A209" s="97" t="n">
        <x:v>18</x:v>
      </x:c>
      <x:c r="B209" s="98" t="str">
        <x:v>C</x:v>
      </x:c>
      <x:c r="C209" s="97" t="n">
        <x:v>2</x:v>
      </x:c>
      <x:c r="D209" s="96" t="str">
        <x:f>IF(OR(A209="",B209="",E209=""),"","R"&amp;TEXT(A209,"00")&amp;"-"&amp;B209&amp;"-"&amp;LEFT(E209,1)&amp;IF(COUNTIFS($A$2:A209,A209,$B$2:B209,B209,$E$2:E209,E209)&gt;1,"-"&amp;COUNTIFS($A$2:A209,A209,$B$2:B209,B209,$E$2:E209,E209),""))</x:f>
        <x:v>R18-C-S</x:v>
      </x:c>
      <x:c r="E209" s="99" t="str">
        <x:v>Small</x:v>
      </x:c>
      <x:c r="F209" s="99"/>
      <x:c r="G209" s="99"/>
      <x:c r="H209" s="99"/>
      <x:c r="I209" s="100" t="n">
        <x:v>0</x:v>
      </x:c>
      <x:c r="J209" s="99" t="str">
        <x:v>N/A</x:v>
      </x:c>
      <x:c r="K209" s="99" t="str">
        <x:v>N/A</x:v>
      </x:c>
      <x:c r="L209" s="99" t="str">
        <x:v>N/A</x:v>
      </x:c>
      <x:c r="M209" s="99" t="str">
        <x:v>N/A</x:v>
      </x:c>
      <x:c r="N209" s="99" t="str">
        <x:v>N/A</x:v>
      </x:c>
      <x:c r="O209" s="96" t="str">
        <x:f>IF(E209="","",IF(E209="Small",IF(OR(F209="",G209="",H209=""),"",IF(AND(F209="Yes",G209="Small",H209="Skip"),"Yes","No")),IF(OR(E209="Normal",E209="Large"),IF(OR(F209="",G209="",H209="",K209="",L209="",M209="",N209=""),"",IF(AND(F209="Yes",G209=E209,H209="Pick",K209="Yes",L209="No",M209=IF(E209="Normal","Normal_Bin","Large_Bin"),N209="Yes"),"Yes","No")),"")))</x:f>
      </x:c>
      <x:c r="P209" s="99" t="str">
        <x:v>NONE</x:v>
      </x:c>
      <x:c r="Q209" s="101"/>
      <x:c r="R209" s="102"/>
    </x:row>
    <x:row r="210">
      <x:c r="A210" s="97" t="n">
        <x:v>18</x:v>
      </x:c>
      <x:c r="B210" s="98" t="str">
        <x:v>C</x:v>
      </x:c>
      <x:c r="C210" s="97" t="n">
        <x:v>2</x:v>
      </x:c>
      <x:c r="D210" s="96" t="str">
        <x:f>IF(OR(A210="",B210="",E210=""),"","R"&amp;TEXT(A210,"00")&amp;"-"&amp;B210&amp;"-"&amp;LEFT(E210,1)&amp;IF(COUNTIFS($A$2:A210,A210,$B$2:B210,B210,$E$2:E210,E210)&gt;1,"-"&amp;COUNTIFS($A$2:A210,A210,$B$2:B210,B210,$E$2:E210,E210),""))</x:f>
        <x:v>R18-C-N</x:v>
      </x:c>
      <x:c r="E210" s="99" t="str">
        <x:v>Normal</x:v>
      </x:c>
      <x:c r="F210" s="99"/>
      <x:c r="G210" s="99"/>
      <x:c r="H210" s="99"/>
      <x:c r="I210" s="100"/>
      <x:c r="J210" s="99"/>
      <x:c r="K210" s="99"/>
      <x:c r="L210" s="99"/>
      <x:c r="M210" s="99"/>
      <x:c r="N210" s="99"/>
      <x:c r="O210" s="96" t="str">
        <x:f>IF(E210="","",IF(E210="Small",IF(OR(F210="",G210="",H210=""),"",IF(AND(F210="Yes",G210="Small",H210="Skip"),"Yes","No")),IF(OR(E210="Normal",E210="Large"),IF(OR(F210="",G210="",H210="",K210="",L210="",M210="",N210=""),"",IF(AND(F210="Yes",G210=E210,H210="Pick",K210="Yes",L210="No",M210=IF(E210="Normal","Normal_Bin","Large_Bin"),N210="Yes"),"Yes","No")),"")))</x:f>
      </x:c>
      <x:c r="P210" s="99" t="str">
        <x:v>NONE</x:v>
      </x:c>
      <x:c r="Q210" s="101"/>
      <x:c r="R210" s="102"/>
    </x:row>
    <x:row r="211">
      <x:c r="A211" s="97" t="n">
        <x:v>18</x:v>
      </x:c>
      <x:c r="B211" s="98" t="str">
        <x:v>C</x:v>
      </x:c>
      <x:c r="C211" s="97" t="n">
        <x:v>2</x:v>
      </x:c>
      <x:c r="D211" s="96" t="str">
        <x:f>IF(OR(A211="",B211="",E211=""),"","R"&amp;TEXT(A211,"00")&amp;"-"&amp;B211&amp;"-"&amp;LEFT(E211,1)&amp;IF(COUNTIFS($A$2:A211,A211,$B$2:B211,B211,$E$2:E211,E211)&gt;1,"-"&amp;COUNTIFS($A$2:A211,A211,$B$2:B211,B211,$E$2:E211,E211),""))</x:f>
        <x:v>R18-C-L</x:v>
      </x:c>
      <x:c r="E211" s="99" t="str">
        <x:v>Large</x:v>
      </x:c>
      <x:c r="F211" s="99"/>
      <x:c r="G211" s="99"/>
      <x:c r="H211" s="99"/>
      <x:c r="I211" s="100"/>
      <x:c r="J211" s="99"/>
      <x:c r="K211" s="99"/>
      <x:c r="L211" s="99"/>
      <x:c r="M211" s="99"/>
      <x:c r="N211" s="99"/>
      <x:c r="O211" s="96" t="str">
        <x:f>IF(E211="","",IF(E211="Small",IF(OR(F211="",G211="",H211=""),"",IF(AND(F211="Yes",G211="Small",H211="Skip"),"Yes","No")),IF(OR(E211="Normal",E211="Large"),IF(OR(F211="",G211="",H211="",K211="",L211="",M211="",N211=""),"",IF(AND(F211="Yes",G211=E211,H211="Pick",K211="Yes",L211="No",M211=IF(E211="Normal","Normal_Bin","Large_Bin"),N211="Yes"),"Yes","No")),"")))</x:f>
      </x:c>
      <x:c r="P211" s="99" t="str">
        <x:v>NONE</x:v>
      </x:c>
      <x:c r="Q211" s="101"/>
      <x:c r="R211" s="102"/>
    </x:row>
    <x:row r="212">
      <x:c r="A212" s="97" t="n">
        <x:v>18</x:v>
      </x:c>
      <x:c r="B212" s="98" t="str">
        <x:v>D</x:v>
      </x:c>
      <x:c r="C212" s="97" t="n">
        <x:v>3</x:v>
      </x:c>
      <x:c r="D212" s="96" t="str">
        <x:f>IF(OR(A212="",B212="",E212=""),"","R"&amp;TEXT(A212,"00")&amp;"-"&amp;B212&amp;"-"&amp;LEFT(E212,1)&amp;IF(COUNTIFS($A$2:A212,A212,$B$2:B212,B212,$E$2:E212,E212)&gt;1,"-"&amp;COUNTIFS($A$2:A212,A212,$B$2:B212,B212,$E$2:E212,E212),""))</x:f>
        <x:v>R18-D-S</x:v>
      </x:c>
      <x:c r="E212" s="99" t="str">
        <x:v>Small</x:v>
      </x:c>
      <x:c r="F212" s="99"/>
      <x:c r="G212" s="99"/>
      <x:c r="H212" s="99"/>
      <x:c r="I212" s="100" t="n">
        <x:v>0</x:v>
      </x:c>
      <x:c r="J212" s="99" t="str">
        <x:v>N/A</x:v>
      </x:c>
      <x:c r="K212" s="99" t="str">
        <x:v>N/A</x:v>
      </x:c>
      <x:c r="L212" s="99" t="str">
        <x:v>N/A</x:v>
      </x:c>
      <x:c r="M212" s="99" t="str">
        <x:v>N/A</x:v>
      </x:c>
      <x:c r="N212" s="99" t="str">
        <x:v>N/A</x:v>
      </x:c>
      <x:c r="O212" s="96" t="str">
        <x:f>IF(E212="","",IF(E212="Small",IF(OR(F212="",G212="",H212=""),"",IF(AND(F212="Yes",G212="Small",H212="Skip"),"Yes","No")),IF(OR(E212="Normal",E212="Large"),IF(OR(F212="",G212="",H212="",K212="",L212="",M212="",N212=""),"",IF(AND(F212="Yes",G212=E212,H212="Pick",K212="Yes",L212="No",M212=IF(E212="Normal","Normal_Bin","Large_Bin"),N212="Yes"),"Yes","No")),"")))</x:f>
      </x:c>
      <x:c r="P212" s="99" t="str">
        <x:v>NONE</x:v>
      </x:c>
      <x:c r="Q212" s="101"/>
      <x:c r="R212" s="102"/>
    </x:row>
    <x:row r="213">
      <x:c r="A213" s="97" t="n">
        <x:v>18</x:v>
      </x:c>
      <x:c r="B213" s="98" t="str">
        <x:v>D</x:v>
      </x:c>
      <x:c r="C213" s="97" t="n">
        <x:v>3</x:v>
      </x:c>
      <x:c r="D213" s="96" t="str">
        <x:f>IF(OR(A213="",B213="",E213=""),"","R"&amp;TEXT(A213,"00")&amp;"-"&amp;B213&amp;"-"&amp;LEFT(E213,1)&amp;IF(COUNTIFS($A$2:A213,A213,$B$2:B213,B213,$E$2:E213,E213)&gt;1,"-"&amp;COUNTIFS($A$2:A213,A213,$B$2:B213,B213,$E$2:E213,E213),""))</x:f>
        <x:v>R18-D-N</x:v>
      </x:c>
      <x:c r="E213" s="99" t="str">
        <x:v>Normal</x:v>
      </x:c>
      <x:c r="F213" s="99"/>
      <x:c r="G213" s="99"/>
      <x:c r="H213" s="99"/>
      <x:c r="I213" s="100"/>
      <x:c r="J213" s="99"/>
      <x:c r="K213" s="99"/>
      <x:c r="L213" s="99"/>
      <x:c r="M213" s="99"/>
      <x:c r="N213" s="99"/>
      <x:c r="O213" s="96" t="str">
        <x:f>IF(E213="","",IF(E213="Small",IF(OR(F213="",G213="",H213=""),"",IF(AND(F213="Yes",G213="Small",H213="Skip"),"Yes","No")),IF(OR(E213="Normal",E213="Large"),IF(OR(F213="",G213="",H213="",K213="",L213="",M213="",N213=""),"",IF(AND(F213="Yes",G213=E213,H213="Pick",K213="Yes",L213="No",M213=IF(E213="Normal","Normal_Bin","Large_Bin"),N213="Yes"),"Yes","No")),"")))</x:f>
      </x:c>
      <x:c r="P213" s="99" t="str">
        <x:v>NONE</x:v>
      </x:c>
      <x:c r="Q213" s="101"/>
      <x:c r="R213" s="102"/>
    </x:row>
    <x:row r="214">
      <x:c r="A214" s="97" t="n">
        <x:v>18</x:v>
      </x:c>
      <x:c r="B214" s="98" t="str">
        <x:v>D</x:v>
      </x:c>
      <x:c r="C214" s="97" t="n">
        <x:v>3</x:v>
      </x:c>
      <x:c r="D214" s="96" t="str">
        <x:f>IF(OR(A214="",B214="",E214=""),"","R"&amp;TEXT(A214,"00")&amp;"-"&amp;B214&amp;"-"&amp;LEFT(E214,1)&amp;IF(COUNTIFS($A$2:A214,A214,$B$2:B214,B214,$E$2:E214,E214)&gt;1,"-"&amp;COUNTIFS($A$2:A214,A214,$B$2:B214,B214,$E$2:E214,E214),""))</x:f>
        <x:v>R18-D-L</x:v>
      </x:c>
      <x:c r="E214" s="99" t="str">
        <x:v>Large</x:v>
      </x:c>
      <x:c r="F214" s="99"/>
      <x:c r="G214" s="99"/>
      <x:c r="H214" s="99"/>
      <x:c r="I214" s="100"/>
      <x:c r="J214" s="99"/>
      <x:c r="K214" s="99"/>
      <x:c r="L214" s="99"/>
      <x:c r="M214" s="99"/>
      <x:c r="N214" s="99"/>
      <x:c r="O214" s="96" t="str">
        <x:f>IF(E214="","",IF(E214="Small",IF(OR(F214="",G214="",H214=""),"",IF(AND(F214="Yes",G214="Small",H214="Skip"),"Yes","No")),IF(OR(E214="Normal",E214="Large"),IF(OR(F214="",G214="",H214="",K214="",L214="",M214="",N214=""),"",IF(AND(F214="Yes",G214=E214,H214="Pick",K214="Yes",L214="No",M214=IF(E214="Normal","Normal_Bin","Large_Bin"),N214="Yes"),"Yes","No")),"")))</x:f>
      </x:c>
      <x:c r="P214" s="99" t="str">
        <x:v>NONE</x:v>
      </x:c>
      <x:c r="Q214" s="101"/>
      <x:c r="R214" s="102"/>
    </x:row>
    <x:row r="215">
      <x:c r="A215" s="97" t="n">
        <x:v>18</x:v>
      </x:c>
      <x:c r="B215" s="98" t="str">
        <x:v>A</x:v>
      </x:c>
      <x:c r="C215" s="97" t="n">
        <x:v>4</x:v>
      </x:c>
      <x:c r="D215" s="96" t="str">
        <x:f>IF(OR(A215="",B215="",E215=""),"","R"&amp;TEXT(A215,"00")&amp;"-"&amp;B215&amp;"-"&amp;LEFT(E215,1)&amp;IF(COUNTIFS($A$2:A215,A215,$B$2:B215,B215,$E$2:E215,E215)&gt;1,"-"&amp;COUNTIFS($A$2:A215,A215,$B$2:B215,B215,$E$2:E215,E215),""))</x:f>
        <x:v>R18-A-S</x:v>
      </x:c>
      <x:c r="E215" s="99" t="str">
        <x:v>Small</x:v>
      </x:c>
      <x:c r="F215" s="99"/>
      <x:c r="G215" s="99"/>
      <x:c r="H215" s="99"/>
      <x:c r="I215" s="100" t="n">
        <x:v>0</x:v>
      </x:c>
      <x:c r="J215" s="99" t="str">
        <x:v>N/A</x:v>
      </x:c>
      <x:c r="K215" s="99" t="str">
        <x:v>N/A</x:v>
      </x:c>
      <x:c r="L215" s="99" t="str">
        <x:v>N/A</x:v>
      </x:c>
      <x:c r="M215" s="99" t="str">
        <x:v>N/A</x:v>
      </x:c>
      <x:c r="N215" s="99" t="str">
        <x:v>N/A</x:v>
      </x:c>
      <x:c r="O215" s="96" t="str">
        <x:f>IF(E215="","",IF(E215="Small",IF(OR(F215="",G215="",H215=""),"",IF(AND(F215="Yes",G215="Small",H215="Skip"),"Yes","No")),IF(OR(E215="Normal",E215="Large"),IF(OR(F215="",G215="",H215="",K215="",L215="",M215="",N215=""),"",IF(AND(F215="Yes",G215=E215,H215="Pick",K215="Yes",L215="No",M215=IF(E215="Normal","Normal_Bin","Large_Bin"),N215="Yes"),"Yes","No")),"")))</x:f>
      </x:c>
      <x:c r="P215" s="99" t="str">
        <x:v>NONE</x:v>
      </x:c>
      <x:c r="Q215" s="101"/>
      <x:c r="R215" s="102"/>
    </x:row>
    <x:row r="216">
      <x:c r="A216" s="97" t="n">
        <x:v>18</x:v>
      </x:c>
      <x:c r="B216" s="98" t="str">
        <x:v>A</x:v>
      </x:c>
      <x:c r="C216" s="97" t="n">
        <x:v>4</x:v>
      </x:c>
      <x:c r="D216" s="96" t="str">
        <x:f>IF(OR(A216="",B216="",E216=""),"","R"&amp;TEXT(A216,"00")&amp;"-"&amp;B216&amp;"-"&amp;LEFT(E216,1)&amp;IF(COUNTIFS($A$2:A216,A216,$B$2:B216,B216,$E$2:E216,E216)&gt;1,"-"&amp;COUNTIFS($A$2:A216,A216,$B$2:B216,B216,$E$2:E216,E216),""))</x:f>
        <x:v>R18-A-N</x:v>
      </x:c>
      <x:c r="E216" s="99" t="str">
        <x:v>Normal</x:v>
      </x:c>
      <x:c r="F216" s="99"/>
      <x:c r="G216" s="99"/>
      <x:c r="H216" s="99"/>
      <x:c r="I216" s="100"/>
      <x:c r="J216" s="99"/>
      <x:c r="K216" s="99"/>
      <x:c r="L216" s="99"/>
      <x:c r="M216" s="99"/>
      <x:c r="N216" s="99"/>
      <x:c r="O216" s="96" t="str">
        <x:f>IF(E216="","",IF(E216="Small",IF(OR(F216="",G216="",H216=""),"",IF(AND(F216="Yes",G216="Small",H216="Skip"),"Yes","No")),IF(OR(E216="Normal",E216="Large"),IF(OR(F216="",G216="",H216="",K216="",L216="",M216="",N216=""),"",IF(AND(F216="Yes",G216=E216,H216="Pick",K216="Yes",L216="No",M216=IF(E216="Normal","Normal_Bin","Large_Bin"),N216="Yes"),"Yes","No")),"")))</x:f>
      </x:c>
      <x:c r="P216" s="99" t="str">
        <x:v>NONE</x:v>
      </x:c>
      <x:c r="Q216" s="101"/>
      <x:c r="R216" s="102"/>
    </x:row>
    <x:row r="217">
      <x:c r="A217" s="97" t="n">
        <x:v>18</x:v>
      </x:c>
      <x:c r="B217" s="98" t="str">
        <x:v>A</x:v>
      </x:c>
      <x:c r="C217" s="97" t="n">
        <x:v>4</x:v>
      </x:c>
      <x:c r="D217" s="96" t="str">
        <x:f>IF(OR(A217="",B217="",E217=""),"","R"&amp;TEXT(A217,"00")&amp;"-"&amp;B217&amp;"-"&amp;LEFT(E217,1)&amp;IF(COUNTIFS($A$2:A217,A217,$B$2:B217,B217,$E$2:E217,E217)&gt;1,"-"&amp;COUNTIFS($A$2:A217,A217,$B$2:B217,B217,$E$2:E217,E217),""))</x:f>
        <x:v>R18-A-L</x:v>
      </x:c>
      <x:c r="E217" s="99" t="str">
        <x:v>Large</x:v>
      </x:c>
      <x:c r="F217" s="99"/>
      <x:c r="G217" s="99"/>
      <x:c r="H217" s="99"/>
      <x:c r="I217" s="100"/>
      <x:c r="J217" s="99"/>
      <x:c r="K217" s="99"/>
      <x:c r="L217" s="99"/>
      <x:c r="M217" s="99"/>
      <x:c r="N217" s="99"/>
      <x:c r="O217" s="96" t="str">
        <x:f>IF(E217="","",IF(E217="Small",IF(OR(F217="",G217="",H217=""),"",IF(AND(F217="Yes",G217="Small",H217="Skip"),"Yes","No")),IF(OR(E217="Normal",E217="Large"),IF(OR(F217="",G217="",H217="",K217="",L217="",M217="",N217=""),"",IF(AND(F217="Yes",G217=E217,H217="Pick",K217="Yes",L217="No",M217=IF(E217="Normal","Normal_Bin","Large_Bin"),N217="Yes"),"Yes","No")),"")))</x:f>
      </x:c>
      <x:c r="P217" s="99" t="str">
        <x:v>NONE</x:v>
      </x:c>
      <x:c r="Q217" s="101"/>
      <x:c r="R217" s="102"/>
    </x:row>
    <x:row r="218">
      <x:c r="A218" s="97" t="n">
        <x:v>19</x:v>
      </x:c>
      <x:c r="B218" s="98" t="str">
        <x:v>C</x:v>
      </x:c>
      <x:c r="C218" s="97" t="n">
        <x:v>1</x:v>
      </x:c>
      <x:c r="D218" s="96" t="str">
        <x:f>IF(OR(A218="",B218="",E218=""),"","R"&amp;TEXT(A218,"00")&amp;"-"&amp;B218&amp;"-"&amp;LEFT(E218,1)&amp;IF(COUNTIFS($A$2:A218,A218,$B$2:B218,B218,$E$2:E218,E218)&gt;1,"-"&amp;COUNTIFS($A$2:A218,A218,$B$2:B218,B218,$E$2:E218,E218),""))</x:f>
        <x:v>R19-C-S</x:v>
      </x:c>
      <x:c r="E218" s="99" t="str">
        <x:v>Small</x:v>
      </x:c>
      <x:c r="F218" s="99"/>
      <x:c r="G218" s="99"/>
      <x:c r="H218" s="99"/>
      <x:c r="I218" s="100" t="n">
        <x:v>0</x:v>
      </x:c>
      <x:c r="J218" s="99" t="str">
        <x:v>N/A</x:v>
      </x:c>
      <x:c r="K218" s="99" t="str">
        <x:v>N/A</x:v>
      </x:c>
      <x:c r="L218" s="99" t="str">
        <x:v>N/A</x:v>
      </x:c>
      <x:c r="M218" s="99" t="str">
        <x:v>N/A</x:v>
      </x:c>
      <x:c r="N218" s="99" t="str">
        <x:v>N/A</x:v>
      </x:c>
      <x:c r="O218" s="96" t="str">
        <x:f>IF(E218="","",IF(E218="Small",IF(OR(F218="",G218="",H218=""),"",IF(AND(F218="Yes",G218="Small",H218="Skip"),"Yes","No")),IF(OR(E218="Normal",E218="Large"),IF(OR(F218="",G218="",H218="",K218="",L218="",M218="",N218=""),"",IF(AND(F218="Yes",G218=E218,H218="Pick",K218="Yes",L218="No",M218=IF(E218="Normal","Normal_Bin","Large_Bin"),N218="Yes"),"Yes","No")),"")))</x:f>
      </x:c>
      <x:c r="P218" s="99" t="str">
        <x:v>NONE</x:v>
      </x:c>
      <x:c r="Q218" s="101"/>
      <x:c r="R218" s="102"/>
    </x:row>
    <x:row r="219">
      <x:c r="A219" s="97" t="n">
        <x:v>19</x:v>
      </x:c>
      <x:c r="B219" s="98" t="str">
        <x:v>C</x:v>
      </x:c>
      <x:c r="C219" s="97" t="n">
        <x:v>1</x:v>
      </x:c>
      <x:c r="D219" s="96" t="str">
        <x:f>IF(OR(A219="",B219="",E219=""),"","R"&amp;TEXT(A219,"00")&amp;"-"&amp;B219&amp;"-"&amp;LEFT(E219,1)&amp;IF(COUNTIFS($A$2:A219,A219,$B$2:B219,B219,$E$2:E219,E219)&gt;1,"-"&amp;COUNTIFS($A$2:A219,A219,$B$2:B219,B219,$E$2:E219,E219),""))</x:f>
        <x:v>R19-C-N</x:v>
      </x:c>
      <x:c r="E219" s="99" t="str">
        <x:v>Normal</x:v>
      </x:c>
      <x:c r="F219" s="99"/>
      <x:c r="G219" s="99"/>
      <x:c r="H219" s="99"/>
      <x:c r="I219" s="100"/>
      <x:c r="J219" s="99"/>
      <x:c r="K219" s="99"/>
      <x:c r="L219" s="99"/>
      <x:c r="M219" s="99"/>
      <x:c r="N219" s="99"/>
      <x:c r="O219" s="96" t="str">
        <x:f>IF(E219="","",IF(E219="Small",IF(OR(F219="",G219="",H219=""),"",IF(AND(F219="Yes",G219="Small",H219="Skip"),"Yes","No")),IF(OR(E219="Normal",E219="Large"),IF(OR(F219="",G219="",H219="",K219="",L219="",M219="",N219=""),"",IF(AND(F219="Yes",G219=E219,H219="Pick",K219="Yes",L219="No",M219=IF(E219="Normal","Normal_Bin","Large_Bin"),N219="Yes"),"Yes","No")),"")))</x:f>
      </x:c>
      <x:c r="P219" s="99" t="str">
        <x:v>NONE</x:v>
      </x:c>
      <x:c r="Q219" s="101"/>
      <x:c r="R219" s="102"/>
    </x:row>
    <x:row r="220">
      <x:c r="A220" s="97" t="n">
        <x:v>19</x:v>
      </x:c>
      <x:c r="B220" s="98" t="str">
        <x:v>C</x:v>
      </x:c>
      <x:c r="C220" s="97" t="n">
        <x:v>1</x:v>
      </x:c>
      <x:c r="D220" s="96" t="str">
        <x:f>IF(OR(A220="",B220="",E220=""),"","R"&amp;TEXT(A220,"00")&amp;"-"&amp;B220&amp;"-"&amp;LEFT(E220,1)&amp;IF(COUNTIFS($A$2:A220,A220,$B$2:B220,B220,$E$2:E220,E220)&gt;1,"-"&amp;COUNTIFS($A$2:A220,A220,$B$2:B220,B220,$E$2:E220,E220),""))</x:f>
        <x:v>R19-C-L</x:v>
      </x:c>
      <x:c r="E220" s="99" t="str">
        <x:v>Large</x:v>
      </x:c>
      <x:c r="F220" s="99"/>
      <x:c r="G220" s="99"/>
      <x:c r="H220" s="99"/>
      <x:c r="I220" s="100"/>
      <x:c r="J220" s="99"/>
      <x:c r="K220" s="99"/>
      <x:c r="L220" s="99"/>
      <x:c r="M220" s="99"/>
      <x:c r="N220" s="99"/>
      <x:c r="O220" s="96" t="str">
        <x:f>IF(E220="","",IF(E220="Small",IF(OR(F220="",G220="",H220=""),"",IF(AND(F220="Yes",G220="Small",H220="Skip"),"Yes","No")),IF(OR(E220="Normal",E220="Large"),IF(OR(F220="",G220="",H220="",K220="",L220="",M220="",N220=""),"",IF(AND(F220="Yes",G220=E220,H220="Pick",K220="Yes",L220="No",M220=IF(E220="Normal","Normal_Bin","Large_Bin"),N220="Yes"),"Yes","No")),"")))</x:f>
      </x:c>
      <x:c r="P220" s="99" t="str">
        <x:v>NONE</x:v>
      </x:c>
      <x:c r="Q220" s="101"/>
      <x:c r="R220" s="102"/>
    </x:row>
    <x:row r="221">
      <x:c r="A221" s="97" t="n">
        <x:v>19</x:v>
      </x:c>
      <x:c r="B221" s="98" t="str">
        <x:v>D</x:v>
      </x:c>
      <x:c r="C221" s="97" t="n">
        <x:v>2</x:v>
      </x:c>
      <x:c r="D221" s="96" t="str">
        <x:f>IF(OR(A221="",B221="",E221=""),"","R"&amp;TEXT(A221,"00")&amp;"-"&amp;B221&amp;"-"&amp;LEFT(E221,1)&amp;IF(COUNTIFS($A$2:A221,A221,$B$2:B221,B221,$E$2:E221,E221)&gt;1,"-"&amp;COUNTIFS($A$2:A221,A221,$B$2:B221,B221,$E$2:E221,E221),""))</x:f>
        <x:v>R19-D-S</x:v>
      </x:c>
      <x:c r="E221" s="99" t="str">
        <x:v>Small</x:v>
      </x:c>
      <x:c r="F221" s="99"/>
      <x:c r="G221" s="99"/>
      <x:c r="H221" s="99"/>
      <x:c r="I221" s="100" t="n">
        <x:v>0</x:v>
      </x:c>
      <x:c r="J221" s="99" t="str">
        <x:v>N/A</x:v>
      </x:c>
      <x:c r="K221" s="99" t="str">
        <x:v>N/A</x:v>
      </x:c>
      <x:c r="L221" s="99" t="str">
        <x:v>N/A</x:v>
      </x:c>
      <x:c r="M221" s="99" t="str">
        <x:v>N/A</x:v>
      </x:c>
      <x:c r="N221" s="99" t="str">
        <x:v>N/A</x:v>
      </x:c>
      <x:c r="O221" s="96" t="str">
        <x:f>IF(E221="","",IF(E221="Small",IF(OR(F221="",G221="",H221=""),"",IF(AND(F221="Yes",G221="Small",H221="Skip"),"Yes","No")),IF(OR(E221="Normal",E221="Large"),IF(OR(F221="",G221="",H221="",K221="",L221="",M221="",N221=""),"",IF(AND(F221="Yes",G221=E221,H221="Pick",K221="Yes",L221="No",M221=IF(E221="Normal","Normal_Bin","Large_Bin"),N221="Yes"),"Yes","No")),"")))</x:f>
      </x:c>
      <x:c r="P221" s="99" t="str">
        <x:v>NONE</x:v>
      </x:c>
      <x:c r="Q221" s="101"/>
      <x:c r="R221" s="102"/>
    </x:row>
    <x:row r="222">
      <x:c r="A222" s="97" t="n">
        <x:v>19</x:v>
      </x:c>
      <x:c r="B222" s="98" t="str">
        <x:v>D</x:v>
      </x:c>
      <x:c r="C222" s="97" t="n">
        <x:v>2</x:v>
      </x:c>
      <x:c r="D222" s="96" t="str">
        <x:f>IF(OR(A222="",B222="",E222=""),"","R"&amp;TEXT(A222,"00")&amp;"-"&amp;B222&amp;"-"&amp;LEFT(E222,1)&amp;IF(COUNTIFS($A$2:A222,A222,$B$2:B222,B222,$E$2:E222,E222)&gt;1,"-"&amp;COUNTIFS($A$2:A222,A222,$B$2:B222,B222,$E$2:E222,E222),""))</x:f>
        <x:v>R19-D-N</x:v>
      </x:c>
      <x:c r="E222" s="99" t="str">
        <x:v>Normal</x:v>
      </x:c>
      <x:c r="F222" s="99"/>
      <x:c r="G222" s="99"/>
      <x:c r="H222" s="99"/>
      <x:c r="I222" s="100"/>
      <x:c r="J222" s="99"/>
      <x:c r="K222" s="99"/>
      <x:c r="L222" s="99"/>
      <x:c r="M222" s="99"/>
      <x:c r="N222" s="99"/>
      <x:c r="O222" s="96" t="str">
        <x:f>IF(E222="","",IF(E222="Small",IF(OR(F222="",G222="",H222=""),"",IF(AND(F222="Yes",G222="Small",H222="Skip"),"Yes","No")),IF(OR(E222="Normal",E222="Large"),IF(OR(F222="",G222="",H222="",K222="",L222="",M222="",N222=""),"",IF(AND(F222="Yes",G222=E222,H222="Pick",K222="Yes",L222="No",M222=IF(E222="Normal","Normal_Bin","Large_Bin"),N222="Yes"),"Yes","No")),"")))</x:f>
      </x:c>
      <x:c r="P222" s="99" t="str">
        <x:v>NONE</x:v>
      </x:c>
      <x:c r="Q222" s="101"/>
      <x:c r="R222" s="102"/>
    </x:row>
    <x:row r="223">
      <x:c r="A223" s="97" t="n">
        <x:v>19</x:v>
      </x:c>
      <x:c r="B223" s="98" t="str">
        <x:v>D</x:v>
      </x:c>
      <x:c r="C223" s="97" t="n">
        <x:v>2</x:v>
      </x:c>
      <x:c r="D223" s="96" t="str">
        <x:f>IF(OR(A223="",B223="",E223=""),"","R"&amp;TEXT(A223,"00")&amp;"-"&amp;B223&amp;"-"&amp;LEFT(E223,1)&amp;IF(COUNTIFS($A$2:A223,A223,$B$2:B223,B223,$E$2:E223,E223)&gt;1,"-"&amp;COUNTIFS($A$2:A223,A223,$B$2:B223,B223,$E$2:E223,E223),""))</x:f>
        <x:v>R19-D-L</x:v>
      </x:c>
      <x:c r="E223" s="99" t="str">
        <x:v>Large</x:v>
      </x:c>
      <x:c r="F223" s="99"/>
      <x:c r="G223" s="99"/>
      <x:c r="H223" s="99"/>
      <x:c r="I223" s="100"/>
      <x:c r="J223" s="99"/>
      <x:c r="K223" s="99"/>
      <x:c r="L223" s="99"/>
      <x:c r="M223" s="99"/>
      <x:c r="N223" s="99"/>
      <x:c r="O223" s="96" t="str">
        <x:f>IF(E223="","",IF(E223="Small",IF(OR(F223="",G223="",H223=""),"",IF(AND(F223="Yes",G223="Small",H223="Skip"),"Yes","No")),IF(OR(E223="Normal",E223="Large"),IF(OR(F223="",G223="",H223="",K223="",L223="",M223="",N223=""),"",IF(AND(F223="Yes",G223=E223,H223="Pick",K223="Yes",L223="No",M223=IF(E223="Normal","Normal_Bin","Large_Bin"),N223="Yes"),"Yes","No")),"")))</x:f>
      </x:c>
      <x:c r="P223" s="99" t="str">
        <x:v>NONE</x:v>
      </x:c>
      <x:c r="Q223" s="101"/>
      <x:c r="R223" s="102"/>
    </x:row>
    <x:row r="224">
      <x:c r="A224" s="97" t="n">
        <x:v>19</x:v>
      </x:c>
      <x:c r="B224" s="98" t="str">
        <x:v>A</x:v>
      </x:c>
      <x:c r="C224" s="97" t="n">
        <x:v>3</x:v>
      </x:c>
      <x:c r="D224" s="96" t="str">
        <x:f>IF(OR(A224="",B224="",E224=""),"","R"&amp;TEXT(A224,"00")&amp;"-"&amp;B224&amp;"-"&amp;LEFT(E224,1)&amp;IF(COUNTIFS($A$2:A224,A224,$B$2:B224,B224,$E$2:E224,E224)&gt;1,"-"&amp;COUNTIFS($A$2:A224,A224,$B$2:B224,B224,$E$2:E224,E224),""))</x:f>
        <x:v>R19-A-S</x:v>
      </x:c>
      <x:c r="E224" s="99" t="str">
        <x:v>Small</x:v>
      </x:c>
      <x:c r="F224" s="99"/>
      <x:c r="G224" s="99"/>
      <x:c r="H224" s="99"/>
      <x:c r="I224" s="100" t="n">
        <x:v>0</x:v>
      </x:c>
      <x:c r="J224" s="99" t="str">
        <x:v>N/A</x:v>
      </x:c>
      <x:c r="K224" s="99" t="str">
        <x:v>N/A</x:v>
      </x:c>
      <x:c r="L224" s="99" t="str">
        <x:v>N/A</x:v>
      </x:c>
      <x:c r="M224" s="99" t="str">
        <x:v>N/A</x:v>
      </x:c>
      <x:c r="N224" s="99" t="str">
        <x:v>N/A</x:v>
      </x:c>
      <x:c r="O224" s="96" t="str">
        <x:f>IF(E224="","",IF(E224="Small",IF(OR(F224="",G224="",H224=""),"",IF(AND(F224="Yes",G224="Small",H224="Skip"),"Yes","No")),IF(OR(E224="Normal",E224="Large"),IF(OR(F224="",G224="",H224="",K224="",L224="",M224="",N224=""),"",IF(AND(F224="Yes",G224=E224,H224="Pick",K224="Yes",L224="No",M224=IF(E224="Normal","Normal_Bin","Large_Bin"),N224="Yes"),"Yes","No")),"")))</x:f>
      </x:c>
      <x:c r="P224" s="99" t="str">
        <x:v>NONE</x:v>
      </x:c>
      <x:c r="Q224" s="101"/>
      <x:c r="R224" s="102"/>
    </x:row>
    <x:row r="225">
      <x:c r="A225" s="97" t="n">
        <x:v>19</x:v>
      </x:c>
      <x:c r="B225" s="98" t="str">
        <x:v>A</x:v>
      </x:c>
      <x:c r="C225" s="97" t="n">
        <x:v>3</x:v>
      </x:c>
      <x:c r="D225" s="96" t="str">
        <x:f>IF(OR(A225="",B225="",E225=""),"","R"&amp;TEXT(A225,"00")&amp;"-"&amp;B225&amp;"-"&amp;LEFT(E225,1)&amp;IF(COUNTIFS($A$2:A225,A225,$B$2:B225,B225,$E$2:E225,E225)&gt;1,"-"&amp;COUNTIFS($A$2:A225,A225,$B$2:B225,B225,$E$2:E225,E225),""))</x:f>
        <x:v>R19-A-N</x:v>
      </x:c>
      <x:c r="E225" s="99" t="str">
        <x:v>Normal</x:v>
      </x:c>
      <x:c r="F225" s="99"/>
      <x:c r="G225" s="99"/>
      <x:c r="H225" s="99"/>
      <x:c r="I225" s="100"/>
      <x:c r="J225" s="99"/>
      <x:c r="K225" s="99"/>
      <x:c r="L225" s="99"/>
      <x:c r="M225" s="99"/>
      <x:c r="N225" s="99"/>
      <x:c r="O225" s="96" t="str">
        <x:f>IF(E225="","",IF(E225="Small",IF(OR(F225="",G225="",H225=""),"",IF(AND(F225="Yes",G225="Small",H225="Skip"),"Yes","No")),IF(OR(E225="Normal",E225="Large"),IF(OR(F225="",G225="",H225="",K225="",L225="",M225="",N225=""),"",IF(AND(F225="Yes",G225=E225,H225="Pick",K225="Yes",L225="No",M225=IF(E225="Normal","Normal_Bin","Large_Bin"),N225="Yes"),"Yes","No")),"")))</x:f>
      </x:c>
      <x:c r="P225" s="99" t="str">
        <x:v>NONE</x:v>
      </x:c>
      <x:c r="Q225" s="101"/>
      <x:c r="R225" s="102"/>
    </x:row>
    <x:row r="226">
      <x:c r="A226" s="97" t="n">
        <x:v>19</x:v>
      </x:c>
      <x:c r="B226" s="98" t="str">
        <x:v>A</x:v>
      </x:c>
      <x:c r="C226" s="97" t="n">
        <x:v>3</x:v>
      </x:c>
      <x:c r="D226" s="96" t="str">
        <x:f>IF(OR(A226="",B226="",E226=""),"","R"&amp;TEXT(A226,"00")&amp;"-"&amp;B226&amp;"-"&amp;LEFT(E226,1)&amp;IF(COUNTIFS($A$2:A226,A226,$B$2:B226,B226,$E$2:E226,E226)&gt;1,"-"&amp;COUNTIFS($A$2:A226,A226,$B$2:B226,B226,$E$2:E226,E226),""))</x:f>
        <x:v>R19-A-L</x:v>
      </x:c>
      <x:c r="E226" s="99" t="str">
        <x:v>Large</x:v>
      </x:c>
      <x:c r="F226" s="99"/>
      <x:c r="G226" s="99"/>
      <x:c r="H226" s="99"/>
      <x:c r="I226" s="100"/>
      <x:c r="J226" s="99"/>
      <x:c r="K226" s="99"/>
      <x:c r="L226" s="99"/>
      <x:c r="M226" s="99"/>
      <x:c r="N226" s="99"/>
      <x:c r="O226" s="96" t="str">
        <x:f>IF(E226="","",IF(E226="Small",IF(OR(F226="",G226="",H226=""),"",IF(AND(F226="Yes",G226="Small",H226="Skip"),"Yes","No")),IF(OR(E226="Normal",E226="Large"),IF(OR(F226="",G226="",H226="",K226="",L226="",M226="",N226=""),"",IF(AND(F226="Yes",G226=E226,H226="Pick",K226="Yes",L226="No",M226=IF(E226="Normal","Normal_Bin","Large_Bin"),N226="Yes"),"Yes","No")),"")))</x:f>
      </x:c>
      <x:c r="P226" s="99" t="str">
        <x:v>NONE</x:v>
      </x:c>
      <x:c r="Q226" s="101"/>
      <x:c r="R226" s="102"/>
    </x:row>
    <x:row r="227">
      <x:c r="A227" s="97" t="n">
        <x:v>19</x:v>
      </x:c>
      <x:c r="B227" s="98" t="str">
        <x:v>B</x:v>
      </x:c>
      <x:c r="C227" s="97" t="n">
        <x:v>4</x:v>
      </x:c>
      <x:c r="D227" s="96" t="str">
        <x:f>IF(OR(A227="",B227="",E227=""),"","R"&amp;TEXT(A227,"00")&amp;"-"&amp;B227&amp;"-"&amp;LEFT(E227,1)&amp;IF(COUNTIFS($A$2:A227,A227,$B$2:B227,B227,$E$2:E227,E227)&gt;1,"-"&amp;COUNTIFS($A$2:A227,A227,$B$2:B227,B227,$E$2:E227,E227),""))</x:f>
        <x:v>R19-B-S</x:v>
      </x:c>
      <x:c r="E227" s="99" t="str">
        <x:v>Small</x:v>
      </x:c>
      <x:c r="F227" s="99"/>
      <x:c r="G227" s="99"/>
      <x:c r="H227" s="99"/>
      <x:c r="I227" s="100" t="n">
        <x:v>0</x:v>
      </x:c>
      <x:c r="J227" s="99" t="str">
        <x:v>N/A</x:v>
      </x:c>
      <x:c r="K227" s="99" t="str">
        <x:v>N/A</x:v>
      </x:c>
      <x:c r="L227" s="99" t="str">
        <x:v>N/A</x:v>
      </x:c>
      <x:c r="M227" s="99" t="str">
        <x:v>N/A</x:v>
      </x:c>
      <x:c r="N227" s="99" t="str">
        <x:v>N/A</x:v>
      </x:c>
      <x:c r="O227" s="96" t="str">
        <x:f>IF(E227="","",IF(E227="Small",IF(OR(F227="",G227="",H227=""),"",IF(AND(F227="Yes",G227="Small",H227="Skip"),"Yes","No")),IF(OR(E227="Normal",E227="Large"),IF(OR(F227="",G227="",H227="",K227="",L227="",M227="",N227=""),"",IF(AND(F227="Yes",G227=E227,H227="Pick",K227="Yes",L227="No",M227=IF(E227="Normal","Normal_Bin","Large_Bin"),N227="Yes"),"Yes","No")),"")))</x:f>
      </x:c>
      <x:c r="P227" s="99" t="str">
        <x:v>NONE</x:v>
      </x:c>
      <x:c r="Q227" s="101"/>
      <x:c r="R227" s="102"/>
    </x:row>
    <x:row r="228">
      <x:c r="A228" s="97" t="n">
        <x:v>19</x:v>
      </x:c>
      <x:c r="B228" s="98" t="str">
        <x:v>B</x:v>
      </x:c>
      <x:c r="C228" s="97" t="n">
        <x:v>4</x:v>
      </x:c>
      <x:c r="D228" s="96" t="str">
        <x:f>IF(OR(A228="",B228="",E228=""),"","R"&amp;TEXT(A228,"00")&amp;"-"&amp;B228&amp;"-"&amp;LEFT(E228,1)&amp;IF(COUNTIFS($A$2:A228,A228,$B$2:B228,B228,$E$2:E228,E228)&gt;1,"-"&amp;COUNTIFS($A$2:A228,A228,$B$2:B228,B228,$E$2:E228,E228),""))</x:f>
        <x:v>R19-B-N</x:v>
      </x:c>
      <x:c r="E228" s="99" t="str">
        <x:v>Normal</x:v>
      </x:c>
      <x:c r="F228" s="99"/>
      <x:c r="G228" s="99"/>
      <x:c r="H228" s="99"/>
      <x:c r="I228" s="100"/>
      <x:c r="J228" s="99"/>
      <x:c r="K228" s="99"/>
      <x:c r="L228" s="99"/>
      <x:c r="M228" s="99"/>
      <x:c r="N228" s="99"/>
      <x:c r="O228" s="96" t="str">
        <x:f>IF(E228="","",IF(E228="Small",IF(OR(F228="",G228="",H228=""),"",IF(AND(F228="Yes",G228="Small",H228="Skip"),"Yes","No")),IF(OR(E228="Normal",E228="Large"),IF(OR(F228="",G228="",H228="",K228="",L228="",M228="",N228=""),"",IF(AND(F228="Yes",G228=E228,H228="Pick",K228="Yes",L228="No",M228=IF(E228="Normal","Normal_Bin","Large_Bin"),N228="Yes"),"Yes","No")),"")))</x:f>
      </x:c>
      <x:c r="P228" s="99" t="str">
        <x:v>NONE</x:v>
      </x:c>
      <x:c r="Q228" s="101"/>
      <x:c r="R228" s="102"/>
    </x:row>
    <x:row r="229">
      <x:c r="A229" s="97" t="n">
        <x:v>19</x:v>
      </x:c>
      <x:c r="B229" s="98" t="str">
        <x:v>B</x:v>
      </x:c>
      <x:c r="C229" s="97" t="n">
        <x:v>4</x:v>
      </x:c>
      <x:c r="D229" s="96" t="str">
        <x:f>IF(OR(A229="",B229="",E229=""),"","R"&amp;TEXT(A229,"00")&amp;"-"&amp;B229&amp;"-"&amp;LEFT(E229,1)&amp;IF(COUNTIFS($A$2:A229,A229,$B$2:B229,B229,$E$2:E229,E229)&gt;1,"-"&amp;COUNTIFS($A$2:A229,A229,$B$2:B229,B229,$E$2:E229,E229),""))</x:f>
        <x:v>R19-B-L</x:v>
      </x:c>
      <x:c r="E229" s="99" t="str">
        <x:v>Large</x:v>
      </x:c>
      <x:c r="F229" s="99"/>
      <x:c r="G229" s="99"/>
      <x:c r="H229" s="99"/>
      <x:c r="I229" s="100"/>
      <x:c r="J229" s="99"/>
      <x:c r="K229" s="99"/>
      <x:c r="L229" s="99"/>
      <x:c r="M229" s="99"/>
      <x:c r="N229" s="99"/>
      <x:c r="O229" s="96" t="str">
        <x:f>IF(E229="","",IF(E229="Small",IF(OR(F229="",G229="",H229=""),"",IF(AND(F229="Yes",G229="Small",H229="Skip"),"Yes","No")),IF(OR(E229="Normal",E229="Large"),IF(OR(F229="",G229="",H229="",K229="",L229="",M229="",N229=""),"",IF(AND(F229="Yes",G229=E229,H229="Pick",K229="Yes",L229="No",M229=IF(E229="Normal","Normal_Bin","Large_Bin"),N229="Yes"),"Yes","No")),"")))</x:f>
      </x:c>
      <x:c r="P229" s="99" t="str">
        <x:v>NONE</x:v>
      </x:c>
      <x:c r="Q229" s="101"/>
      <x:c r="R229" s="102"/>
    </x:row>
    <x:row r="230">
      <x:c r="A230" s="97" t="n">
        <x:v>20</x:v>
      </x:c>
      <x:c r="B230" s="98" t="str">
        <x:v>D</x:v>
      </x:c>
      <x:c r="C230" s="97" t="n">
        <x:v>1</x:v>
      </x:c>
      <x:c r="D230" s="96" t="str">
        <x:f>IF(OR(A230="",B230="",E230=""),"","R"&amp;TEXT(A230,"00")&amp;"-"&amp;B230&amp;"-"&amp;LEFT(E230,1)&amp;IF(COUNTIFS($A$2:A230,A230,$B$2:B230,B230,$E$2:E230,E230)&gt;1,"-"&amp;COUNTIFS($A$2:A230,A230,$B$2:B230,B230,$E$2:E230,E230),""))</x:f>
        <x:v>R20-D-S</x:v>
      </x:c>
      <x:c r="E230" s="99" t="str">
        <x:v>Small</x:v>
      </x:c>
      <x:c r="F230" s="99"/>
      <x:c r="G230" s="99"/>
      <x:c r="H230" s="99"/>
      <x:c r="I230" s="100" t="n">
        <x:v>0</x:v>
      </x:c>
      <x:c r="J230" s="99" t="str">
        <x:v>N/A</x:v>
      </x:c>
      <x:c r="K230" s="99" t="str">
        <x:v>N/A</x:v>
      </x:c>
      <x:c r="L230" s="99" t="str">
        <x:v>N/A</x:v>
      </x:c>
      <x:c r="M230" s="99" t="str">
        <x:v>N/A</x:v>
      </x:c>
      <x:c r="N230" s="99" t="str">
        <x:v>N/A</x:v>
      </x:c>
      <x:c r="O230" s="96" t="str">
        <x:f>IF(E230="","",IF(E230="Small",IF(OR(F230="",G230="",H230=""),"",IF(AND(F230="Yes",G230="Small",H230="Skip"),"Yes","No")),IF(OR(E230="Normal",E230="Large"),IF(OR(F230="",G230="",H230="",K230="",L230="",M230="",N230=""),"",IF(AND(F230="Yes",G230=E230,H230="Pick",K230="Yes",L230="No",M230=IF(E230="Normal","Normal_Bin","Large_Bin"),N230="Yes"),"Yes","No")),"")))</x:f>
      </x:c>
      <x:c r="P230" s="99" t="str">
        <x:v>NONE</x:v>
      </x:c>
      <x:c r="Q230" s="101"/>
      <x:c r="R230" s="102"/>
    </x:row>
    <x:row r="231">
      <x:c r="A231" s="97" t="n">
        <x:v>20</x:v>
      </x:c>
      <x:c r="B231" s="98" t="str">
        <x:v>D</x:v>
      </x:c>
      <x:c r="C231" s="97" t="n">
        <x:v>1</x:v>
      </x:c>
      <x:c r="D231" s="96" t="str">
        <x:f>IF(OR(A231="",B231="",E231=""),"","R"&amp;TEXT(A231,"00")&amp;"-"&amp;B231&amp;"-"&amp;LEFT(E231,1)&amp;IF(COUNTIFS($A$2:A231,A231,$B$2:B231,B231,$E$2:E231,E231)&gt;1,"-"&amp;COUNTIFS($A$2:A231,A231,$B$2:B231,B231,$E$2:E231,E231),""))</x:f>
        <x:v>R20-D-N</x:v>
      </x:c>
      <x:c r="E231" s="99" t="str">
        <x:v>Normal</x:v>
      </x:c>
      <x:c r="F231" s="99"/>
      <x:c r="G231" s="99"/>
      <x:c r="H231" s="99"/>
      <x:c r="I231" s="100"/>
      <x:c r="J231" s="99"/>
      <x:c r="K231" s="99"/>
      <x:c r="L231" s="99"/>
      <x:c r="M231" s="99"/>
      <x:c r="N231" s="99"/>
      <x:c r="O231" s="96" t="str">
        <x:f>IF(E231="","",IF(E231="Small",IF(OR(F231="",G231="",H231=""),"",IF(AND(F231="Yes",G231="Small",H231="Skip"),"Yes","No")),IF(OR(E231="Normal",E231="Large"),IF(OR(F231="",G231="",H231="",K231="",L231="",M231="",N231=""),"",IF(AND(F231="Yes",G231=E231,H231="Pick",K231="Yes",L231="No",M231=IF(E231="Normal","Normal_Bin","Large_Bin"),N231="Yes"),"Yes","No")),"")))</x:f>
      </x:c>
      <x:c r="P231" s="99" t="str">
        <x:v>NONE</x:v>
      </x:c>
      <x:c r="Q231" s="101"/>
      <x:c r="R231" s="102"/>
    </x:row>
    <x:row r="232">
      <x:c r="A232" s="97" t="n">
        <x:v>20</x:v>
      </x:c>
      <x:c r="B232" s="98" t="str">
        <x:v>D</x:v>
      </x:c>
      <x:c r="C232" s="97" t="n">
        <x:v>1</x:v>
      </x:c>
      <x:c r="D232" s="96" t="str">
        <x:f>IF(OR(A232="",B232="",E232=""),"","R"&amp;TEXT(A232,"00")&amp;"-"&amp;B232&amp;"-"&amp;LEFT(E232,1)&amp;IF(COUNTIFS($A$2:A232,A232,$B$2:B232,B232,$E$2:E232,E232)&gt;1,"-"&amp;COUNTIFS($A$2:A232,A232,$B$2:B232,B232,$E$2:E232,E232),""))</x:f>
        <x:v>R20-D-L</x:v>
      </x:c>
      <x:c r="E232" s="99" t="str">
        <x:v>Large</x:v>
      </x:c>
      <x:c r="F232" s="99"/>
      <x:c r="G232" s="99"/>
      <x:c r="H232" s="99"/>
      <x:c r="I232" s="100"/>
      <x:c r="J232" s="99"/>
      <x:c r="K232" s="99"/>
      <x:c r="L232" s="99"/>
      <x:c r="M232" s="99"/>
      <x:c r="N232" s="99"/>
      <x:c r="O232" s="96" t="str">
        <x:f>IF(E232="","",IF(E232="Small",IF(OR(F232="",G232="",H232=""),"",IF(AND(F232="Yes",G232="Small",H232="Skip"),"Yes","No")),IF(OR(E232="Normal",E232="Large"),IF(OR(F232="",G232="",H232="",K232="",L232="",M232="",N232=""),"",IF(AND(F232="Yes",G232=E232,H232="Pick",K232="Yes",L232="No",M232=IF(E232="Normal","Normal_Bin","Large_Bin"),N232="Yes"),"Yes","No")),"")))</x:f>
      </x:c>
      <x:c r="P232" s="99" t="str">
        <x:v>NONE</x:v>
      </x:c>
      <x:c r="Q232" s="101"/>
      <x:c r="R232" s="102"/>
    </x:row>
    <x:row r="233">
      <x:c r="A233" s="97" t="n">
        <x:v>20</x:v>
      </x:c>
      <x:c r="B233" s="98" t="str">
        <x:v>A</x:v>
      </x:c>
      <x:c r="C233" s="97" t="n">
        <x:v>2</x:v>
      </x:c>
      <x:c r="D233" s="96" t="str">
        <x:f>IF(OR(A233="",B233="",E233=""),"","R"&amp;TEXT(A233,"00")&amp;"-"&amp;B233&amp;"-"&amp;LEFT(E233,1)&amp;IF(COUNTIFS($A$2:A233,A233,$B$2:B233,B233,$E$2:E233,E233)&gt;1,"-"&amp;COUNTIFS($A$2:A233,A233,$B$2:B233,B233,$E$2:E233,E233),""))</x:f>
        <x:v>R20-A-S</x:v>
      </x:c>
      <x:c r="E233" s="99" t="str">
        <x:v>Small</x:v>
      </x:c>
      <x:c r="F233" s="99"/>
      <x:c r="G233" s="99"/>
      <x:c r="H233" s="99"/>
      <x:c r="I233" s="100" t="n">
        <x:v>0</x:v>
      </x:c>
      <x:c r="J233" s="99" t="str">
        <x:v>N/A</x:v>
      </x:c>
      <x:c r="K233" s="99" t="str">
        <x:v>N/A</x:v>
      </x:c>
      <x:c r="L233" s="99" t="str">
        <x:v>N/A</x:v>
      </x:c>
      <x:c r="M233" s="99" t="str">
        <x:v>N/A</x:v>
      </x:c>
      <x:c r="N233" s="99" t="str">
        <x:v>N/A</x:v>
      </x:c>
      <x:c r="O233" s="96" t="str">
        <x:f>IF(E233="","",IF(E233="Small",IF(OR(F233="",G233="",H233=""),"",IF(AND(F233="Yes",G233="Small",H233="Skip"),"Yes","No")),IF(OR(E233="Normal",E233="Large"),IF(OR(F233="",G233="",H233="",K233="",L233="",M233="",N233=""),"",IF(AND(F233="Yes",G233=E233,H233="Pick",K233="Yes",L233="No",M233=IF(E233="Normal","Normal_Bin","Large_Bin"),N233="Yes"),"Yes","No")),"")))</x:f>
      </x:c>
      <x:c r="P233" s="99" t="str">
        <x:v>NONE</x:v>
      </x:c>
      <x:c r="Q233" s="101"/>
      <x:c r="R233" s="102"/>
    </x:row>
    <x:row r="234">
      <x:c r="A234" s="97" t="n">
        <x:v>20</x:v>
      </x:c>
      <x:c r="B234" s="98" t="str">
        <x:v>A</x:v>
      </x:c>
      <x:c r="C234" s="97" t="n">
        <x:v>2</x:v>
      </x:c>
      <x:c r="D234" s="96" t="str">
        <x:f>IF(OR(A234="",B234="",E234=""),"","R"&amp;TEXT(A234,"00")&amp;"-"&amp;B234&amp;"-"&amp;LEFT(E234,1)&amp;IF(COUNTIFS($A$2:A234,A234,$B$2:B234,B234,$E$2:E234,E234)&gt;1,"-"&amp;COUNTIFS($A$2:A234,A234,$B$2:B234,B234,$E$2:E234,E234),""))</x:f>
        <x:v>R20-A-N</x:v>
      </x:c>
      <x:c r="E234" s="99" t="str">
        <x:v>Normal</x:v>
      </x:c>
      <x:c r="F234" s="99"/>
      <x:c r="G234" s="99"/>
      <x:c r="H234" s="99"/>
      <x:c r="I234" s="100"/>
      <x:c r="J234" s="99"/>
      <x:c r="K234" s="99"/>
      <x:c r="L234" s="99"/>
      <x:c r="M234" s="99"/>
      <x:c r="N234" s="99"/>
      <x:c r="O234" s="96" t="str">
        <x:f>IF(E234="","",IF(E234="Small",IF(OR(F234="",G234="",H234=""),"",IF(AND(F234="Yes",G234="Small",H234="Skip"),"Yes","No")),IF(OR(E234="Normal",E234="Large"),IF(OR(F234="",G234="",H234="",K234="",L234="",M234="",N234=""),"",IF(AND(F234="Yes",G234=E234,H234="Pick",K234="Yes",L234="No",M234=IF(E234="Normal","Normal_Bin","Large_Bin"),N234="Yes"),"Yes","No")),"")))</x:f>
      </x:c>
      <x:c r="P234" s="99" t="str">
        <x:v>NONE</x:v>
      </x:c>
      <x:c r="Q234" s="101"/>
      <x:c r="R234" s="102"/>
    </x:row>
    <x:row r="235">
      <x:c r="A235" s="97" t="n">
        <x:v>20</x:v>
      </x:c>
      <x:c r="B235" s="98" t="str">
        <x:v>A</x:v>
      </x:c>
      <x:c r="C235" s="97" t="n">
        <x:v>2</x:v>
      </x:c>
      <x:c r="D235" s="96" t="str">
        <x:f>IF(OR(A235="",B235="",E235=""),"","R"&amp;TEXT(A235,"00")&amp;"-"&amp;B235&amp;"-"&amp;LEFT(E235,1)&amp;IF(COUNTIFS($A$2:A235,A235,$B$2:B235,B235,$E$2:E235,E235)&gt;1,"-"&amp;COUNTIFS($A$2:A235,A235,$B$2:B235,B235,$E$2:E235,E235),""))</x:f>
        <x:v>R20-A-L</x:v>
      </x:c>
      <x:c r="E235" s="99" t="str">
        <x:v>Large</x:v>
      </x:c>
      <x:c r="F235" s="99"/>
      <x:c r="G235" s="99"/>
      <x:c r="H235" s="99"/>
      <x:c r="I235" s="100"/>
      <x:c r="J235" s="99"/>
      <x:c r="K235" s="99"/>
      <x:c r="L235" s="99"/>
      <x:c r="M235" s="99"/>
      <x:c r="N235" s="99"/>
      <x:c r="O235" s="96" t="str">
        <x:f>IF(E235="","",IF(E235="Small",IF(OR(F235="",G235="",H235=""),"",IF(AND(F235="Yes",G235="Small",H235="Skip"),"Yes","No")),IF(OR(E235="Normal",E235="Large"),IF(OR(F235="",G235="",H235="",K235="",L235="",M235="",N235=""),"",IF(AND(F235="Yes",G235=E235,H235="Pick",K235="Yes",L235="No",M235=IF(E235="Normal","Normal_Bin","Large_Bin"),N235="Yes"),"Yes","No")),"")))</x:f>
      </x:c>
      <x:c r="P235" s="99" t="str">
        <x:v>NONE</x:v>
      </x:c>
      <x:c r="Q235" s="101"/>
      <x:c r="R235" s="102"/>
    </x:row>
    <x:row r="236">
      <x:c r="A236" s="97" t="n">
        <x:v>20</x:v>
      </x:c>
      <x:c r="B236" s="98" t="str">
        <x:v>B</x:v>
      </x:c>
      <x:c r="C236" s="97" t="n">
        <x:v>3</x:v>
      </x:c>
      <x:c r="D236" s="96" t="str">
        <x:f>IF(OR(A236="",B236="",E236=""),"","R"&amp;TEXT(A236,"00")&amp;"-"&amp;B236&amp;"-"&amp;LEFT(E236,1)&amp;IF(COUNTIFS($A$2:A236,A236,$B$2:B236,B236,$E$2:E236,E236)&gt;1,"-"&amp;COUNTIFS($A$2:A236,A236,$B$2:B236,B236,$E$2:E236,E236),""))</x:f>
        <x:v>R20-B-S</x:v>
      </x:c>
      <x:c r="E236" s="99" t="str">
        <x:v>Small</x:v>
      </x:c>
      <x:c r="F236" s="99"/>
      <x:c r="G236" s="99"/>
      <x:c r="H236" s="99"/>
      <x:c r="I236" s="100" t="n">
        <x:v>0</x:v>
      </x:c>
      <x:c r="J236" s="99" t="str">
        <x:v>N/A</x:v>
      </x:c>
      <x:c r="K236" s="99" t="str">
        <x:v>N/A</x:v>
      </x:c>
      <x:c r="L236" s="99" t="str">
        <x:v>N/A</x:v>
      </x:c>
      <x:c r="M236" s="99" t="str">
        <x:v>N/A</x:v>
      </x:c>
      <x:c r="N236" s="99" t="str">
        <x:v>N/A</x:v>
      </x:c>
      <x:c r="O236" s="96" t="str">
        <x:f>IF(E236="","",IF(E236="Small",IF(OR(F236="",G236="",H236=""),"",IF(AND(F236="Yes",G236="Small",H236="Skip"),"Yes","No")),IF(OR(E236="Normal",E236="Large"),IF(OR(F236="",G236="",H236="",K236="",L236="",M236="",N236=""),"",IF(AND(F236="Yes",G236=E236,H236="Pick",K236="Yes",L236="No",M236=IF(E236="Normal","Normal_Bin","Large_Bin"),N236="Yes"),"Yes","No")),"")))</x:f>
      </x:c>
      <x:c r="P236" s="99" t="str">
        <x:v>NONE</x:v>
      </x:c>
      <x:c r="Q236" s="101"/>
      <x:c r="R236" s="102"/>
    </x:row>
    <x:row r="237">
      <x:c r="A237" s="97" t="n">
        <x:v>20</x:v>
      </x:c>
      <x:c r="B237" s="98" t="str">
        <x:v>B</x:v>
      </x:c>
      <x:c r="C237" s="97" t="n">
        <x:v>3</x:v>
      </x:c>
      <x:c r="D237" s="96" t="str">
        <x:f>IF(OR(A237="",B237="",E237=""),"","R"&amp;TEXT(A237,"00")&amp;"-"&amp;B237&amp;"-"&amp;LEFT(E237,1)&amp;IF(COUNTIFS($A$2:A237,A237,$B$2:B237,B237,$E$2:E237,E237)&gt;1,"-"&amp;COUNTIFS($A$2:A237,A237,$B$2:B237,B237,$E$2:E237,E237),""))</x:f>
        <x:v>R20-B-N</x:v>
      </x:c>
      <x:c r="E237" s="99" t="str">
        <x:v>Normal</x:v>
      </x:c>
      <x:c r="F237" s="99"/>
      <x:c r="G237" s="99"/>
      <x:c r="H237" s="99"/>
      <x:c r="I237" s="100"/>
      <x:c r="J237" s="99"/>
      <x:c r="K237" s="99"/>
      <x:c r="L237" s="99"/>
      <x:c r="M237" s="99"/>
      <x:c r="N237" s="99"/>
      <x:c r="O237" s="96" t="str">
        <x:f>IF(E237="","",IF(E237="Small",IF(OR(F237="",G237="",H237=""),"",IF(AND(F237="Yes",G237="Small",H237="Skip"),"Yes","No")),IF(OR(E237="Normal",E237="Large"),IF(OR(F237="",G237="",H237="",K237="",L237="",M237="",N237=""),"",IF(AND(F237="Yes",G237=E237,H237="Pick",K237="Yes",L237="No",M237=IF(E237="Normal","Normal_Bin","Large_Bin"),N237="Yes"),"Yes","No")),"")))</x:f>
      </x:c>
      <x:c r="P237" s="99" t="str">
        <x:v>NONE</x:v>
      </x:c>
      <x:c r="Q237" s="101"/>
      <x:c r="R237" s="102"/>
    </x:row>
    <x:row r="238">
      <x:c r="A238" s="97" t="n">
        <x:v>20</x:v>
      </x:c>
      <x:c r="B238" s="98" t="str">
        <x:v>B</x:v>
      </x:c>
      <x:c r="C238" s="97" t="n">
        <x:v>3</x:v>
      </x:c>
      <x:c r="D238" s="96" t="str">
        <x:f>IF(OR(A238="",B238="",E238=""),"","R"&amp;TEXT(A238,"00")&amp;"-"&amp;B238&amp;"-"&amp;LEFT(E238,1)&amp;IF(COUNTIFS($A$2:A238,A238,$B$2:B238,B238,$E$2:E238,E238)&gt;1,"-"&amp;COUNTIFS($A$2:A238,A238,$B$2:B238,B238,$E$2:E238,E238),""))</x:f>
        <x:v>R20-B-L</x:v>
      </x:c>
      <x:c r="E238" s="99" t="str">
        <x:v>Large</x:v>
      </x:c>
      <x:c r="F238" s="99"/>
      <x:c r="G238" s="99"/>
      <x:c r="H238" s="99"/>
      <x:c r="I238" s="100"/>
      <x:c r="J238" s="99"/>
      <x:c r="K238" s="99"/>
      <x:c r="L238" s="99"/>
      <x:c r="M238" s="99"/>
      <x:c r="N238" s="99"/>
      <x:c r="O238" s="96" t="str">
        <x:f>IF(E238="","",IF(E238="Small",IF(OR(F238="",G238="",H238=""),"",IF(AND(F238="Yes",G238="Small",H238="Skip"),"Yes","No")),IF(OR(E238="Normal",E238="Large"),IF(OR(F238="",G238="",H238="",K238="",L238="",M238="",N238=""),"",IF(AND(F238="Yes",G238=E238,H238="Pick",K238="Yes",L238="No",M238=IF(E238="Normal","Normal_Bin","Large_Bin"),N238="Yes"),"Yes","No")),"")))</x:f>
      </x:c>
      <x:c r="P238" s="99" t="str">
        <x:v>NONE</x:v>
      </x:c>
      <x:c r="Q238" s="101"/>
      <x:c r="R238" s="102"/>
    </x:row>
    <x:row r="239">
      <x:c r="A239" s="97" t="n">
        <x:v>20</x:v>
      </x:c>
      <x:c r="B239" s="98" t="str">
        <x:v>C</x:v>
      </x:c>
      <x:c r="C239" s="97" t="n">
        <x:v>4</x:v>
      </x:c>
      <x:c r="D239" s="96" t="str">
        <x:f>IF(OR(A239="",B239="",E239=""),"","R"&amp;TEXT(A239,"00")&amp;"-"&amp;B239&amp;"-"&amp;LEFT(E239,1)&amp;IF(COUNTIFS($A$2:A239,A239,$B$2:B239,B239,$E$2:E239,E239)&gt;1,"-"&amp;COUNTIFS($A$2:A239,A239,$B$2:B239,B239,$E$2:E239,E239),""))</x:f>
        <x:v>R20-C-S</x:v>
      </x:c>
      <x:c r="E239" s="99" t="str">
        <x:v>Small</x:v>
      </x:c>
      <x:c r="F239" s="99"/>
      <x:c r="G239" s="99"/>
      <x:c r="H239" s="99"/>
      <x:c r="I239" s="100" t="n">
        <x:v>0</x:v>
      </x:c>
      <x:c r="J239" s="99" t="str">
        <x:v>N/A</x:v>
      </x:c>
      <x:c r="K239" s="99" t="str">
        <x:v>N/A</x:v>
      </x:c>
      <x:c r="L239" s="99" t="str">
        <x:v>N/A</x:v>
      </x:c>
      <x:c r="M239" s="99" t="str">
        <x:v>N/A</x:v>
      </x:c>
      <x:c r="N239" s="99" t="str">
        <x:v>N/A</x:v>
      </x:c>
      <x:c r="O239" s="96" t="str">
        <x:f>IF(E239="","",IF(E239="Small",IF(OR(F239="",G239="",H239=""),"",IF(AND(F239="Yes",G239="Small",H239="Skip"),"Yes","No")),IF(OR(E239="Normal",E239="Large"),IF(OR(F239="",G239="",H239="",K239="",L239="",M239="",N239=""),"",IF(AND(F239="Yes",G239=E239,H239="Pick",K239="Yes",L239="No",M239=IF(E239="Normal","Normal_Bin","Large_Bin"),N239="Yes"),"Yes","No")),"")))</x:f>
      </x:c>
      <x:c r="P239" s="99" t="str">
        <x:v>NONE</x:v>
      </x:c>
      <x:c r="Q239" s="101"/>
      <x:c r="R239" s="102"/>
    </x:row>
    <x:row r="240">
      <x:c r="A240" s="97" t="n">
        <x:v>20</x:v>
      </x:c>
      <x:c r="B240" s="98" t="str">
        <x:v>C</x:v>
      </x:c>
      <x:c r="C240" s="97" t="n">
        <x:v>4</x:v>
      </x:c>
      <x:c r="D240" s="96" t="str">
        <x:f>IF(OR(A240="",B240="",E240=""),"","R"&amp;TEXT(A240,"00")&amp;"-"&amp;B240&amp;"-"&amp;LEFT(E240,1)&amp;IF(COUNTIFS($A$2:A240,A240,$B$2:B240,B240,$E$2:E240,E240)&gt;1,"-"&amp;COUNTIFS($A$2:A240,A240,$B$2:B240,B240,$E$2:E240,E240),""))</x:f>
        <x:v>R20-C-N</x:v>
      </x:c>
      <x:c r="E240" s="99" t="str">
        <x:v>Normal</x:v>
      </x:c>
      <x:c r="F240" s="99"/>
      <x:c r="G240" s="99"/>
      <x:c r="H240" s="99"/>
      <x:c r="I240" s="100"/>
      <x:c r="J240" s="99"/>
      <x:c r="K240" s="99"/>
      <x:c r="L240" s="99"/>
      <x:c r="M240" s="99"/>
      <x:c r="N240" s="99"/>
      <x:c r="O240" s="96" t="str">
        <x:f>IF(E240="","",IF(E240="Small",IF(OR(F240="",G240="",H240=""),"",IF(AND(F240="Yes",G240="Small",H240="Skip"),"Yes","No")),IF(OR(E240="Normal",E240="Large"),IF(OR(F240="",G240="",H240="",K240="",L240="",M240="",N240=""),"",IF(AND(F240="Yes",G240=E240,H240="Pick",K240="Yes",L240="No",M240=IF(E240="Normal","Normal_Bin","Large_Bin"),N240="Yes"),"Yes","No")),"")))</x:f>
      </x:c>
      <x:c r="P240" s="99" t="str">
        <x:v>NONE</x:v>
      </x:c>
      <x:c r="Q240" s="101"/>
      <x:c r="R240" s="102"/>
    </x:row>
    <x:row r="241">
      <x:c r="A241" s="97" t="n">
        <x:v>20</x:v>
      </x:c>
      <x:c r="B241" s="98" t="str">
        <x:v>C</x:v>
      </x:c>
      <x:c r="C241" s="97" t="n">
        <x:v>4</x:v>
      </x:c>
      <x:c r="D241" s="96" t="str">
        <x:f>IF(OR(A241="",B241="",E241=""),"","R"&amp;TEXT(A241,"00")&amp;"-"&amp;B241&amp;"-"&amp;LEFT(E241,1)&amp;IF(COUNTIFS($A$2:A241,A241,$B$2:B241,B241,$E$2:E241,E241)&gt;1,"-"&amp;COUNTIFS($A$2:A241,A241,$B$2:B241,B241,$E$2:E241,E241),""))</x:f>
        <x:v>R20-C-L</x:v>
      </x:c>
      <x:c r="E241" s="99" t="str">
        <x:v>Large</x:v>
      </x:c>
      <x:c r="F241" s="99"/>
      <x:c r="G241" s="99"/>
      <x:c r="H241" s="99"/>
      <x:c r="I241" s="100"/>
      <x:c r="J241" s="99"/>
      <x:c r="K241" s="99"/>
      <x:c r="L241" s="99"/>
      <x:c r="M241" s="99"/>
      <x:c r="N241" s="99"/>
      <x:c r="O241" s="96" t="str">
        <x:f>IF(E241="","",IF(E241="Small",IF(OR(F241="",G241="",H241=""),"",IF(AND(F241="Yes",G241="Small",H241="Skip"),"Yes","No")),IF(OR(E241="Normal",E241="Large"),IF(OR(F241="",G241="",H241="",K241="",L241="",M241="",N241=""),"",IF(AND(F241="Yes",G241=E241,H241="Pick",K241="Yes",L241="No",M241=IF(E241="Normal","Normal_Bin","Large_Bin"),N241="Yes"),"Yes","No")),"")))</x:f>
      </x:c>
      <x:c r="P241" s="99" t="str">
        <x:v>NONE</x:v>
      </x:c>
      <x:c r="Q241" s="101"/>
      <x:c r="R241" s="102"/>
    </x:row>
    <x:row r="242">
      <x:c r="A242" s="97"/>
      <x:c r="B242" s="98"/>
      <x:c r="C242" s="97"/>
      <x:c r="D242" s="96" t="str">
        <x:f>IF(OR(A242="",B242="",E242=""),"","R"&amp;TEXT(A242,"00")&amp;"-"&amp;B242&amp;"-"&amp;LEFT(E242,1)&amp;IF(COUNTIFS($A$2:A242,A242,$B$2:B242,B242,$E$2:E242,E242)&gt;1,"-"&amp;COUNTIFS($A$2:A242,A242,$B$2:B242,B242,$E$2:E242,E242),""))</x:f>
      </x:c>
      <x:c r="E242" s="99"/>
      <x:c r="F242" s="99"/>
      <x:c r="G242" s="99"/>
      <x:c r="H242" s="99"/>
      <x:c r="I242" s="100"/>
      <x:c r="J242" s="99"/>
      <x:c r="K242" s="99"/>
      <x:c r="L242" s="99"/>
      <x:c r="M242" s="99"/>
      <x:c r="N242" s="99"/>
      <x:c r="O242" s="96" t="str">
        <x:f>IF(E242="","",IF(E242="Small",IF(OR(F242="",G242="",H242=""),"",IF(AND(F242="Yes",G242="Small",H242="Skip"),"Yes","No")),IF(OR(E242="Normal",E242="Large"),IF(OR(F242="",G242="",H242="",K242="",L242="",M242="",N242=""),"",IF(AND(F242="Yes",G242=E242,H242="Pick",K242="Yes",L242="No",M242=IF(E242="Normal","Normal_Bin","Large_Bin"),N242="Yes"),"Yes","No")),"")))</x:f>
      </x:c>
      <x:c r="P242" s="99"/>
      <x:c r="Q242" s="101"/>
      <x:c r="R242" s="102"/>
    </x:row>
    <x:row r="243">
      <x:c r="A243" s="97"/>
      <x:c r="B243" s="98"/>
      <x:c r="C243" s="97"/>
      <x:c r="D243" s="96" t="str">
        <x:f>IF(OR(A243="",B243="",E243=""),"","R"&amp;TEXT(A243,"00")&amp;"-"&amp;B243&amp;"-"&amp;LEFT(E243,1)&amp;IF(COUNTIFS($A$2:A243,A243,$B$2:B243,B243,$E$2:E243,E243)&gt;1,"-"&amp;COUNTIFS($A$2:A243,A243,$B$2:B243,B243,$E$2:E243,E243),""))</x:f>
      </x:c>
      <x:c r="E243" s="99"/>
      <x:c r="F243" s="99"/>
      <x:c r="G243" s="99"/>
      <x:c r="H243" s="99"/>
      <x:c r="I243" s="100"/>
      <x:c r="J243" s="99"/>
      <x:c r="K243" s="99"/>
      <x:c r="L243" s="99"/>
      <x:c r="M243" s="99"/>
      <x:c r="N243" s="99"/>
      <x:c r="O243" s="96" t="str">
        <x:f>IF(E243="","",IF(E243="Small",IF(OR(F243="",G243="",H243=""),"",IF(AND(F243="Yes",G243="Small",H243="Skip"),"Yes","No")),IF(OR(E243="Normal",E243="Large"),IF(OR(F243="",G243="",H243="",K243="",L243="",M243="",N243=""),"",IF(AND(F243="Yes",G243=E243,H243="Pick",K243="Yes",L243="No",M243=IF(E243="Normal","Normal_Bin","Large_Bin"),N243="Yes"),"Yes","No")),"")))</x:f>
      </x:c>
      <x:c r="P243" s="99"/>
      <x:c r="Q243" s="101"/>
      <x:c r="R243" s="102"/>
    </x:row>
    <x:row r="244">
      <x:c r="A244" s="97"/>
      <x:c r="B244" s="98"/>
      <x:c r="C244" s="97"/>
      <x:c r="D244" s="96" t="str">
        <x:f>IF(OR(A244="",B244="",E244=""),"","R"&amp;TEXT(A244,"00")&amp;"-"&amp;B244&amp;"-"&amp;LEFT(E244,1)&amp;IF(COUNTIFS($A$2:A244,A244,$B$2:B244,B244,$E$2:E244,E244)&gt;1,"-"&amp;COUNTIFS($A$2:A244,A244,$B$2:B244,B244,$E$2:E244,E244),""))</x:f>
      </x:c>
      <x:c r="E244" s="99"/>
      <x:c r="F244" s="99"/>
      <x:c r="G244" s="99"/>
      <x:c r="H244" s="99"/>
      <x:c r="I244" s="100"/>
      <x:c r="J244" s="99"/>
      <x:c r="K244" s="99"/>
      <x:c r="L244" s="99"/>
      <x:c r="M244" s="99"/>
      <x:c r="N244" s="99"/>
      <x:c r="O244" s="96" t="str">
        <x:f>IF(E244="","",IF(E244="Small",IF(OR(F244="",G244="",H244=""),"",IF(AND(F244="Yes",G244="Small",H244="Skip"),"Yes","No")),IF(OR(E244="Normal",E244="Large"),IF(OR(F244="",G244="",H244="",K244="",L244="",M244="",N244=""),"",IF(AND(F244="Yes",G244=E244,H244="Pick",K244="Yes",L244="No",M244=IF(E244="Normal","Normal_Bin","Large_Bin"),N244="Yes"),"Yes","No")),"")))</x:f>
      </x:c>
      <x:c r="P244" s="99"/>
      <x:c r="Q244" s="101"/>
      <x:c r="R244" s="102"/>
    </x:row>
    <x:row r="245">
      <x:c r="A245" s="97"/>
      <x:c r="B245" s="98"/>
      <x:c r="C245" s="97"/>
      <x:c r="D245" s="96" t="str">
        <x:f>IF(OR(A245="",B245="",E245=""),"","R"&amp;TEXT(A245,"00")&amp;"-"&amp;B245&amp;"-"&amp;LEFT(E245,1)&amp;IF(COUNTIFS($A$2:A245,A245,$B$2:B245,B245,$E$2:E245,E245)&gt;1,"-"&amp;COUNTIFS($A$2:A245,A245,$B$2:B245,B245,$E$2:E245,E245),""))</x:f>
      </x:c>
      <x:c r="E245" s="99"/>
      <x:c r="F245" s="99"/>
      <x:c r="G245" s="99"/>
      <x:c r="H245" s="99"/>
      <x:c r="I245" s="100"/>
      <x:c r="J245" s="99"/>
      <x:c r="K245" s="99"/>
      <x:c r="L245" s="99"/>
      <x:c r="M245" s="99"/>
      <x:c r="N245" s="99"/>
      <x:c r="O245" s="96" t="str">
        <x:f>IF(E245="","",IF(E245="Small",IF(OR(F245="",G245="",H245=""),"",IF(AND(F245="Yes",G245="Small",H245="Skip"),"Yes","No")),IF(OR(E245="Normal",E245="Large"),IF(OR(F245="",G245="",H245="",K245="",L245="",M245="",N245=""),"",IF(AND(F245="Yes",G245=E245,H245="Pick",K245="Yes",L245="No",M245=IF(E245="Normal","Normal_Bin","Large_Bin"),N245="Yes"),"Yes","No")),"")))</x:f>
      </x:c>
      <x:c r="P245" s="99"/>
      <x:c r="Q245" s="101"/>
      <x:c r="R245" s="102"/>
    </x:row>
    <x:row r="246">
      <x:c r="A246" s="97"/>
      <x:c r="B246" s="98"/>
      <x:c r="C246" s="97"/>
      <x:c r="D246" s="96" t="str">
        <x:f>IF(OR(A246="",B246="",E246=""),"","R"&amp;TEXT(A246,"00")&amp;"-"&amp;B246&amp;"-"&amp;LEFT(E246,1)&amp;IF(COUNTIFS($A$2:A246,A246,$B$2:B246,B246,$E$2:E246,E246)&gt;1,"-"&amp;COUNTIFS($A$2:A246,A246,$B$2:B246,B246,$E$2:E246,E246),""))</x:f>
      </x:c>
      <x:c r="E246" s="99"/>
      <x:c r="F246" s="99"/>
      <x:c r="G246" s="99"/>
      <x:c r="H246" s="99"/>
      <x:c r="I246" s="100"/>
      <x:c r="J246" s="99"/>
      <x:c r="K246" s="99"/>
      <x:c r="L246" s="99"/>
      <x:c r="M246" s="99"/>
      <x:c r="N246" s="99"/>
      <x:c r="O246" s="96" t="str">
        <x:f>IF(E246="","",IF(E246="Small",IF(OR(F246="",G246="",H246=""),"",IF(AND(F246="Yes",G246="Small",H246="Skip"),"Yes","No")),IF(OR(E246="Normal",E246="Large"),IF(OR(F246="",G246="",H246="",K246="",L246="",M246="",N246=""),"",IF(AND(F246="Yes",G246=E246,H246="Pick",K246="Yes",L246="No",M246=IF(E246="Normal","Normal_Bin","Large_Bin"),N246="Yes"),"Yes","No")),"")))</x:f>
      </x:c>
      <x:c r="P246" s="99"/>
      <x:c r="Q246" s="101"/>
      <x:c r="R246" s="102"/>
    </x:row>
    <x:row r="247">
      <x:c r="A247" s="97"/>
      <x:c r="B247" s="98"/>
      <x:c r="C247" s="97"/>
      <x:c r="D247" s="96" t="str">
        <x:f>IF(OR(A247="",B247="",E247=""),"","R"&amp;TEXT(A247,"00")&amp;"-"&amp;B247&amp;"-"&amp;LEFT(E247,1)&amp;IF(COUNTIFS($A$2:A247,A247,$B$2:B247,B247,$E$2:E247,E247)&gt;1,"-"&amp;COUNTIFS($A$2:A247,A247,$B$2:B247,B247,$E$2:E247,E247),""))</x:f>
      </x:c>
      <x:c r="E247" s="99"/>
      <x:c r="F247" s="99"/>
      <x:c r="G247" s="99"/>
      <x:c r="H247" s="99"/>
      <x:c r="I247" s="100"/>
      <x:c r="J247" s="99"/>
      <x:c r="K247" s="99"/>
      <x:c r="L247" s="99"/>
      <x:c r="M247" s="99"/>
      <x:c r="N247" s="99"/>
      <x:c r="O247" s="96" t="str">
        <x:f>IF(E247="","",IF(E247="Small",IF(OR(F247="",G247="",H247=""),"",IF(AND(F247="Yes",G247="Small",H247="Skip"),"Yes","No")),IF(OR(E247="Normal",E247="Large"),IF(OR(F247="",G247="",H247="",K247="",L247="",M247="",N247=""),"",IF(AND(F247="Yes",G247=E247,H247="Pick",K247="Yes",L247="No",M247=IF(E247="Normal","Normal_Bin","Large_Bin"),N247="Yes"),"Yes","No")),"")))</x:f>
      </x:c>
      <x:c r="P247" s="99"/>
      <x:c r="Q247" s="101"/>
      <x:c r="R247" s="102"/>
    </x:row>
    <x:row r="248">
      <x:c r="A248" s="97"/>
      <x:c r="B248" s="98"/>
      <x:c r="C248" s="97"/>
      <x:c r="D248" s="96" t="str">
        <x:f>IF(OR(A248="",B248="",E248=""),"","R"&amp;TEXT(A248,"00")&amp;"-"&amp;B248&amp;"-"&amp;LEFT(E248,1)&amp;IF(COUNTIFS($A$2:A248,A248,$B$2:B248,B248,$E$2:E248,E248)&gt;1,"-"&amp;COUNTIFS($A$2:A248,A248,$B$2:B248,B248,$E$2:E248,E248),""))</x:f>
      </x:c>
      <x:c r="E248" s="99"/>
      <x:c r="F248" s="99"/>
      <x:c r="G248" s="99"/>
      <x:c r="H248" s="99"/>
      <x:c r="I248" s="100"/>
      <x:c r="J248" s="99"/>
      <x:c r="K248" s="99"/>
      <x:c r="L248" s="99"/>
      <x:c r="M248" s="99"/>
      <x:c r="N248" s="99"/>
      <x:c r="O248" s="96" t="str">
        <x:f>IF(E248="","",IF(E248="Small",IF(OR(F248="",G248="",H248=""),"",IF(AND(F248="Yes",G248="Small",H248="Skip"),"Yes","No")),IF(OR(E248="Normal",E248="Large"),IF(OR(F248="",G248="",H248="",K248="",L248="",M248="",N248=""),"",IF(AND(F248="Yes",G248=E248,H248="Pick",K248="Yes",L248="No",M248=IF(E248="Normal","Normal_Bin","Large_Bin"),N248="Yes"),"Yes","No")),"")))</x:f>
      </x:c>
      <x:c r="P248" s="99"/>
      <x:c r="Q248" s="101"/>
      <x:c r="R248" s="102"/>
    </x:row>
    <x:row r="249">
      <x:c r="A249" s="97"/>
      <x:c r="B249" s="98"/>
      <x:c r="C249" s="97"/>
      <x:c r="D249" s="96" t="str">
        <x:f>IF(OR(A249="",B249="",E249=""),"","R"&amp;TEXT(A249,"00")&amp;"-"&amp;B249&amp;"-"&amp;LEFT(E249,1)&amp;IF(COUNTIFS($A$2:A249,A249,$B$2:B249,B249,$E$2:E249,E249)&gt;1,"-"&amp;COUNTIFS($A$2:A249,A249,$B$2:B249,B249,$E$2:E249,E249),""))</x:f>
      </x:c>
      <x:c r="E249" s="99"/>
      <x:c r="F249" s="99"/>
      <x:c r="G249" s="99"/>
      <x:c r="H249" s="99"/>
      <x:c r="I249" s="100"/>
      <x:c r="J249" s="99"/>
      <x:c r="K249" s="99"/>
      <x:c r="L249" s="99"/>
      <x:c r="M249" s="99"/>
      <x:c r="N249" s="99"/>
      <x:c r="O249" s="96" t="str">
        <x:f>IF(E249="","",IF(E249="Small",IF(OR(F249="",G249="",H249=""),"",IF(AND(F249="Yes",G249="Small",H249="Skip"),"Yes","No")),IF(OR(E249="Normal",E249="Large"),IF(OR(F249="",G249="",H249="",K249="",L249="",M249="",N249=""),"",IF(AND(F249="Yes",G249=E249,H249="Pick",K249="Yes",L249="No",M249=IF(E249="Normal","Normal_Bin","Large_Bin"),N249="Yes"),"Yes","No")),"")))</x:f>
      </x:c>
      <x:c r="P249" s="99"/>
      <x:c r="Q249" s="101"/>
      <x:c r="R249" s="102"/>
    </x:row>
    <x:row r="250">
      <x:c r="A250" s="97"/>
      <x:c r="B250" s="98"/>
      <x:c r="C250" s="97"/>
      <x:c r="D250" s="96" t="str">
        <x:f>IF(OR(A250="",B250="",E250=""),"","R"&amp;TEXT(A250,"00")&amp;"-"&amp;B250&amp;"-"&amp;LEFT(E250,1)&amp;IF(COUNTIFS($A$2:A250,A250,$B$2:B250,B250,$E$2:E250,E250)&gt;1,"-"&amp;COUNTIFS($A$2:A250,A250,$B$2:B250,B250,$E$2:E250,E250),""))</x:f>
      </x:c>
      <x:c r="E250" s="99"/>
      <x:c r="F250" s="99"/>
      <x:c r="G250" s="99"/>
      <x:c r="H250" s="99"/>
      <x:c r="I250" s="100"/>
      <x:c r="J250" s="99"/>
      <x:c r="K250" s="99"/>
      <x:c r="L250" s="99"/>
      <x:c r="M250" s="99"/>
      <x:c r="N250" s="99"/>
      <x:c r="O250" s="96" t="str">
        <x:f>IF(E250="","",IF(E250="Small",IF(OR(F250="",G250="",H250=""),"",IF(AND(F250="Yes",G250="Small",H250="Skip"),"Yes","No")),IF(OR(E250="Normal",E250="Large"),IF(OR(F250="",G250="",H250="",K250="",L250="",M250="",N250=""),"",IF(AND(F250="Yes",G250=E250,H250="Pick",K250="Yes",L250="No",M250=IF(E250="Normal","Normal_Bin","Large_Bin"),N250="Yes"),"Yes","No")),"")))</x:f>
      </x:c>
      <x:c r="P250" s="99"/>
      <x:c r="Q250" s="101"/>
      <x:c r="R250" s="102"/>
    </x:row>
    <x:row r="251">
      <x:c r="A251" s="97"/>
      <x:c r="B251" s="98"/>
      <x:c r="C251" s="97"/>
      <x:c r="D251" s="96" t="str">
        <x:f>IF(OR(A251="",B251="",E251=""),"","R"&amp;TEXT(A251,"00")&amp;"-"&amp;B251&amp;"-"&amp;LEFT(E251,1)&amp;IF(COUNTIFS($A$2:A251,A251,$B$2:B251,B251,$E$2:E251,E251)&gt;1,"-"&amp;COUNTIFS($A$2:A251,A251,$B$2:B251,B251,$E$2:E251,E251),""))</x:f>
      </x:c>
      <x:c r="E251" s="99"/>
      <x:c r="F251" s="99"/>
      <x:c r="G251" s="99"/>
      <x:c r="H251" s="99"/>
      <x:c r="I251" s="100"/>
      <x:c r="J251" s="99"/>
      <x:c r="K251" s="99"/>
      <x:c r="L251" s="99"/>
      <x:c r="M251" s="99"/>
      <x:c r="N251" s="99"/>
      <x:c r="O251" s="96" t="str">
        <x:f>IF(E251="","",IF(E251="Small",IF(OR(F251="",G251="",H251=""),"",IF(AND(F251="Yes",G251="Small",H251="Skip"),"Yes","No")),IF(OR(E251="Normal",E251="Large"),IF(OR(F251="",G251="",H251="",K251="",L251="",M251="",N251=""),"",IF(AND(F251="Yes",G251=E251,H251="Pick",K251="Yes",L251="No",M251=IF(E251="Normal","Normal_Bin","Large_Bin"),N251="Yes"),"Yes","No")),"")))</x:f>
      </x:c>
      <x:c r="P251" s="99"/>
      <x:c r="Q251" s="101"/>
      <x:c r="R251" s="102"/>
    </x:row>
    <x:row r="252">
      <x:c r="A252" s="97"/>
      <x:c r="B252" s="98"/>
      <x:c r="C252" s="97"/>
      <x:c r="D252" s="96" t="str">
        <x:f>IF(OR(A252="",B252="",E252=""),"","R"&amp;TEXT(A252,"00")&amp;"-"&amp;B252&amp;"-"&amp;LEFT(E252,1)&amp;IF(COUNTIFS($A$2:A252,A252,$B$2:B252,B252,$E$2:E252,E252)&gt;1,"-"&amp;COUNTIFS($A$2:A252,A252,$B$2:B252,B252,$E$2:E252,E252),""))</x:f>
      </x:c>
      <x:c r="E252" s="99"/>
      <x:c r="F252" s="99"/>
      <x:c r="G252" s="99"/>
      <x:c r="H252" s="99"/>
      <x:c r="I252" s="100"/>
      <x:c r="J252" s="99"/>
      <x:c r="K252" s="99"/>
      <x:c r="L252" s="99"/>
      <x:c r="M252" s="99"/>
      <x:c r="N252" s="99"/>
      <x:c r="O252" s="96" t="str">
        <x:f>IF(E252="","",IF(E252="Small",IF(OR(F252="",G252="",H252=""),"",IF(AND(F252="Yes",G252="Small",H252="Skip"),"Yes","No")),IF(OR(E252="Normal",E252="Large"),IF(OR(F252="",G252="",H252="",K252="",L252="",M252="",N252=""),"",IF(AND(F252="Yes",G252=E252,H252="Pick",K252="Yes",L252="No",M252=IF(E252="Normal","Normal_Bin","Large_Bin"),N252="Yes"),"Yes","No")),"")))</x:f>
      </x:c>
      <x:c r="P252" s="99"/>
      <x:c r="Q252" s="101"/>
      <x:c r="R252" s="102"/>
    </x:row>
    <x:row r="253">
      <x:c r="A253" s="97"/>
      <x:c r="B253" s="98"/>
      <x:c r="C253" s="97"/>
      <x:c r="D253" s="96" t="str">
        <x:f>IF(OR(A253="",B253="",E253=""),"","R"&amp;TEXT(A253,"00")&amp;"-"&amp;B253&amp;"-"&amp;LEFT(E253,1)&amp;IF(COUNTIFS($A$2:A253,A253,$B$2:B253,B253,$E$2:E253,E253)&gt;1,"-"&amp;COUNTIFS($A$2:A253,A253,$B$2:B253,B253,$E$2:E253,E253),""))</x:f>
      </x:c>
      <x:c r="E253" s="99"/>
      <x:c r="F253" s="99"/>
      <x:c r="G253" s="99"/>
      <x:c r="H253" s="99"/>
      <x:c r="I253" s="100"/>
      <x:c r="J253" s="99"/>
      <x:c r="K253" s="99"/>
      <x:c r="L253" s="99"/>
      <x:c r="M253" s="99"/>
      <x:c r="N253" s="99"/>
      <x:c r="O253" s="96" t="str">
        <x:f>IF(E253="","",IF(E253="Small",IF(OR(F253="",G253="",H253=""),"",IF(AND(F253="Yes",G253="Small",H253="Skip"),"Yes","No")),IF(OR(E253="Normal",E253="Large"),IF(OR(F253="",G253="",H253="",K253="",L253="",M253="",N253=""),"",IF(AND(F253="Yes",G253=E253,H253="Pick",K253="Yes",L253="No",M253=IF(E253="Normal","Normal_Bin","Large_Bin"),N253="Yes"),"Yes","No")),"")))</x:f>
      </x:c>
      <x:c r="P253" s="99"/>
      <x:c r="Q253" s="101"/>
      <x:c r="R253" s="102"/>
    </x:row>
    <x:row r="254">
      <x:c r="A254" s="97"/>
      <x:c r="B254" s="98"/>
      <x:c r="C254" s="97"/>
      <x:c r="D254" s="96" t="str">
        <x:f>IF(OR(A254="",B254="",E254=""),"","R"&amp;TEXT(A254,"00")&amp;"-"&amp;B254&amp;"-"&amp;LEFT(E254,1)&amp;IF(COUNTIFS($A$2:A254,A254,$B$2:B254,B254,$E$2:E254,E254)&gt;1,"-"&amp;COUNTIFS($A$2:A254,A254,$B$2:B254,B254,$E$2:E254,E254),""))</x:f>
      </x:c>
      <x:c r="E254" s="99"/>
      <x:c r="F254" s="99"/>
      <x:c r="G254" s="99"/>
      <x:c r="H254" s="99"/>
      <x:c r="I254" s="100"/>
      <x:c r="J254" s="99"/>
      <x:c r="K254" s="99"/>
      <x:c r="L254" s="99"/>
      <x:c r="M254" s="99"/>
      <x:c r="N254" s="99"/>
      <x:c r="O254" s="96" t="str">
        <x:f>IF(E254="","",IF(E254="Small",IF(OR(F254="",G254="",H254=""),"",IF(AND(F254="Yes",G254="Small",H254="Skip"),"Yes","No")),IF(OR(E254="Normal",E254="Large"),IF(OR(F254="",G254="",H254="",K254="",L254="",M254="",N254=""),"",IF(AND(F254="Yes",G254=E254,H254="Pick",K254="Yes",L254="No",M254=IF(E254="Normal","Normal_Bin","Large_Bin"),N254="Yes"),"Yes","No")),"")))</x:f>
      </x:c>
      <x:c r="P254" s="99"/>
      <x:c r="Q254" s="101"/>
      <x:c r="R254" s="102"/>
    </x:row>
    <x:row r="255">
      <x:c r="A255" s="97"/>
      <x:c r="B255" s="98"/>
      <x:c r="C255" s="97"/>
      <x:c r="D255" s="96" t="str">
        <x:f>IF(OR(A255="",B255="",E255=""),"","R"&amp;TEXT(A255,"00")&amp;"-"&amp;B255&amp;"-"&amp;LEFT(E255,1)&amp;IF(COUNTIFS($A$2:A255,A255,$B$2:B255,B255,$E$2:E255,E255)&gt;1,"-"&amp;COUNTIFS($A$2:A255,A255,$B$2:B255,B255,$E$2:E255,E255),""))</x:f>
      </x:c>
      <x:c r="E255" s="99"/>
      <x:c r="F255" s="99"/>
      <x:c r="G255" s="99"/>
      <x:c r="H255" s="99"/>
      <x:c r="I255" s="100"/>
      <x:c r="J255" s="99"/>
      <x:c r="K255" s="99"/>
      <x:c r="L255" s="99"/>
      <x:c r="M255" s="99"/>
      <x:c r="N255" s="99"/>
      <x:c r="O255" s="96" t="str">
        <x:f>IF(E255="","",IF(E255="Small",IF(OR(F255="",G255="",H255=""),"",IF(AND(F255="Yes",G255="Small",H255="Skip"),"Yes","No")),IF(OR(E255="Normal",E255="Large"),IF(OR(F255="",G255="",H255="",K255="",L255="",M255="",N255=""),"",IF(AND(F255="Yes",G255=E255,H255="Pick",K255="Yes",L255="No",M255=IF(E255="Normal","Normal_Bin","Large_Bin"),N255="Yes"),"Yes","No")),"")))</x:f>
      </x:c>
      <x:c r="P255" s="99"/>
      <x:c r="Q255" s="101"/>
      <x:c r="R255" s="102"/>
    </x:row>
    <x:row r="256">
      <x:c r="A256" s="97"/>
      <x:c r="B256" s="98"/>
      <x:c r="C256" s="97"/>
      <x:c r="D256" s="96" t="str">
        <x:f>IF(OR(A256="",B256="",E256=""),"","R"&amp;TEXT(A256,"00")&amp;"-"&amp;B256&amp;"-"&amp;LEFT(E256,1)&amp;IF(COUNTIFS($A$2:A256,A256,$B$2:B256,B256,$E$2:E256,E256)&gt;1,"-"&amp;COUNTIFS($A$2:A256,A256,$B$2:B256,B256,$E$2:E256,E256),""))</x:f>
      </x:c>
      <x:c r="E256" s="99"/>
      <x:c r="F256" s="99"/>
      <x:c r="G256" s="99"/>
      <x:c r="H256" s="99"/>
      <x:c r="I256" s="100"/>
      <x:c r="J256" s="99"/>
      <x:c r="K256" s="99"/>
      <x:c r="L256" s="99"/>
      <x:c r="M256" s="99"/>
      <x:c r="N256" s="99"/>
      <x:c r="O256" s="96" t="str">
        <x:f>IF(E256="","",IF(E256="Small",IF(OR(F256="",G256="",H256=""),"",IF(AND(F256="Yes",G256="Small",H256="Skip"),"Yes","No")),IF(OR(E256="Normal",E256="Large"),IF(OR(F256="",G256="",H256="",K256="",L256="",M256="",N256=""),"",IF(AND(F256="Yes",G256=E256,H256="Pick",K256="Yes",L256="No",M256=IF(E256="Normal","Normal_Bin","Large_Bin"),N256="Yes"),"Yes","No")),"")))</x:f>
      </x:c>
      <x:c r="P256" s="99"/>
      <x:c r="Q256" s="101"/>
      <x:c r="R256" s="102"/>
    </x:row>
    <x:row r="257">
      <x:c r="A257" s="97"/>
      <x:c r="B257" s="98"/>
      <x:c r="C257" s="97"/>
      <x:c r="D257" s="96" t="str">
        <x:f>IF(OR(A257="",B257="",E257=""),"","R"&amp;TEXT(A257,"00")&amp;"-"&amp;B257&amp;"-"&amp;LEFT(E257,1)&amp;IF(COUNTIFS($A$2:A257,A257,$B$2:B257,B257,$E$2:E257,E257)&gt;1,"-"&amp;COUNTIFS($A$2:A257,A257,$B$2:B257,B257,$E$2:E257,E257),""))</x:f>
      </x:c>
      <x:c r="E257" s="99"/>
      <x:c r="F257" s="99"/>
      <x:c r="G257" s="99"/>
      <x:c r="H257" s="99"/>
      <x:c r="I257" s="100"/>
      <x:c r="J257" s="99"/>
      <x:c r="K257" s="99"/>
      <x:c r="L257" s="99"/>
      <x:c r="M257" s="99"/>
      <x:c r="N257" s="99"/>
      <x:c r="O257" s="96" t="str">
        <x:f>IF(E257="","",IF(E257="Small",IF(OR(F257="",G257="",H257=""),"",IF(AND(F257="Yes",G257="Small",H257="Skip"),"Yes","No")),IF(OR(E257="Normal",E257="Large"),IF(OR(F257="",G257="",H257="",K257="",L257="",M257="",N257=""),"",IF(AND(F257="Yes",G257=E257,H257="Pick",K257="Yes",L257="No",M257=IF(E257="Normal","Normal_Bin","Large_Bin"),N257="Yes"),"Yes","No")),"")))</x:f>
      </x:c>
      <x:c r="P257" s="99"/>
      <x:c r="Q257" s="101"/>
      <x:c r="R257" s="102"/>
    </x:row>
    <x:row r="258">
      <x:c r="A258" s="97"/>
      <x:c r="B258" s="98"/>
      <x:c r="C258" s="97"/>
      <x:c r="D258" s="96" t="str">
        <x:f>IF(OR(A258="",B258="",E258=""),"","R"&amp;TEXT(A258,"00")&amp;"-"&amp;B258&amp;"-"&amp;LEFT(E258,1)&amp;IF(COUNTIFS($A$2:A258,A258,$B$2:B258,B258,$E$2:E258,E258)&gt;1,"-"&amp;COUNTIFS($A$2:A258,A258,$B$2:B258,B258,$E$2:E258,E258),""))</x:f>
      </x:c>
      <x:c r="E258" s="99"/>
      <x:c r="F258" s="99"/>
      <x:c r="G258" s="99"/>
      <x:c r="H258" s="99"/>
      <x:c r="I258" s="100"/>
      <x:c r="J258" s="99"/>
      <x:c r="K258" s="99"/>
      <x:c r="L258" s="99"/>
      <x:c r="M258" s="99"/>
      <x:c r="N258" s="99"/>
      <x:c r="O258" s="96" t="str">
        <x:f>IF(E258="","",IF(E258="Small",IF(OR(F258="",G258="",H258=""),"",IF(AND(F258="Yes",G258="Small",H258="Skip"),"Yes","No")),IF(OR(E258="Normal",E258="Large"),IF(OR(F258="",G258="",H258="",K258="",L258="",M258="",N258=""),"",IF(AND(F258="Yes",G258=E258,H258="Pick",K258="Yes",L258="No",M258=IF(E258="Normal","Normal_Bin","Large_Bin"),N258="Yes"),"Yes","No")),"")))</x:f>
      </x:c>
      <x:c r="P258" s="99"/>
      <x:c r="Q258" s="101"/>
      <x:c r="R258" s="102"/>
    </x:row>
    <x:row r="259">
      <x:c r="A259" s="97"/>
      <x:c r="B259" s="98"/>
      <x:c r="C259" s="97"/>
      <x:c r="D259" s="96" t="str">
        <x:f>IF(OR(A259="",B259="",E259=""),"","R"&amp;TEXT(A259,"00")&amp;"-"&amp;B259&amp;"-"&amp;LEFT(E259,1)&amp;IF(COUNTIFS($A$2:A259,A259,$B$2:B259,B259,$E$2:E259,E259)&gt;1,"-"&amp;COUNTIFS($A$2:A259,A259,$B$2:B259,B259,$E$2:E259,E259),""))</x:f>
      </x:c>
      <x:c r="E259" s="99"/>
      <x:c r="F259" s="99"/>
      <x:c r="G259" s="99"/>
      <x:c r="H259" s="99"/>
      <x:c r="I259" s="100"/>
      <x:c r="J259" s="99"/>
      <x:c r="K259" s="99"/>
      <x:c r="L259" s="99"/>
      <x:c r="M259" s="99"/>
      <x:c r="N259" s="99"/>
      <x:c r="O259" s="96" t="str">
        <x:f>IF(E259="","",IF(E259="Small",IF(OR(F259="",G259="",H259=""),"",IF(AND(F259="Yes",G259="Small",H259="Skip"),"Yes","No")),IF(OR(E259="Normal",E259="Large"),IF(OR(F259="",G259="",H259="",K259="",L259="",M259="",N259=""),"",IF(AND(F259="Yes",G259=E259,H259="Pick",K259="Yes",L259="No",M259=IF(E259="Normal","Normal_Bin","Large_Bin"),N259="Yes"),"Yes","No")),"")))</x:f>
      </x:c>
      <x:c r="P259" s="99"/>
      <x:c r="Q259" s="101"/>
      <x:c r="R259" s="102"/>
    </x:row>
    <x:row r="260">
      <x:c r="A260" s="97"/>
      <x:c r="B260" s="98"/>
      <x:c r="C260" s="97"/>
      <x:c r="D260" s="96" t="str">
        <x:f>IF(OR(A260="",B260="",E260=""),"","R"&amp;TEXT(A260,"00")&amp;"-"&amp;B260&amp;"-"&amp;LEFT(E260,1)&amp;IF(COUNTIFS($A$2:A260,A260,$B$2:B260,B260,$E$2:E260,E260)&gt;1,"-"&amp;COUNTIFS($A$2:A260,A260,$B$2:B260,B260,$E$2:E260,E260),""))</x:f>
      </x:c>
      <x:c r="E260" s="99"/>
      <x:c r="F260" s="99"/>
      <x:c r="G260" s="99"/>
      <x:c r="H260" s="99"/>
      <x:c r="I260" s="100"/>
      <x:c r="J260" s="99"/>
      <x:c r="K260" s="99"/>
      <x:c r="L260" s="99"/>
      <x:c r="M260" s="99"/>
      <x:c r="N260" s="99"/>
      <x:c r="O260" s="96" t="str">
        <x:f>IF(E260="","",IF(E260="Small",IF(OR(F260="",G260="",H260=""),"",IF(AND(F260="Yes",G260="Small",H260="Skip"),"Yes","No")),IF(OR(E260="Normal",E260="Large"),IF(OR(F260="",G260="",H260="",K260="",L260="",M260="",N260=""),"",IF(AND(F260="Yes",G260=E260,H260="Pick",K260="Yes",L260="No",M260=IF(E260="Normal","Normal_Bin","Large_Bin"),N260="Yes"),"Yes","No")),"")))</x:f>
      </x:c>
      <x:c r="P260" s="99"/>
      <x:c r="Q260" s="101"/>
      <x:c r="R260" s="102"/>
    </x:row>
    <x:row r="261">
      <x:c r="A261" s="97"/>
      <x:c r="B261" s="98"/>
      <x:c r="C261" s="97"/>
      <x:c r="D261" s="96" t="str">
        <x:f>IF(OR(A261="",B261="",E261=""),"","R"&amp;TEXT(A261,"00")&amp;"-"&amp;B261&amp;"-"&amp;LEFT(E261,1)&amp;IF(COUNTIFS($A$2:A261,A261,$B$2:B261,B261,$E$2:E261,E261)&gt;1,"-"&amp;COUNTIFS($A$2:A261,A261,$B$2:B261,B261,$E$2:E261,E261),""))</x:f>
      </x:c>
      <x:c r="E261" s="99"/>
      <x:c r="F261" s="99"/>
      <x:c r="G261" s="99"/>
      <x:c r="H261" s="99"/>
      <x:c r="I261" s="100"/>
      <x:c r="J261" s="99"/>
      <x:c r="K261" s="99"/>
      <x:c r="L261" s="99"/>
      <x:c r="M261" s="99"/>
      <x:c r="N261" s="99"/>
      <x:c r="O261" s="96" t="str">
        <x:f>IF(E261="","",IF(E261="Small",IF(OR(F261="",G261="",H261=""),"",IF(AND(F261="Yes",G261="Small",H261="Skip"),"Yes","No")),IF(OR(E261="Normal",E261="Large"),IF(OR(F261="",G261="",H261="",K261="",L261="",M261="",N261=""),"",IF(AND(F261="Yes",G261=E261,H261="Pick",K261="Yes",L261="No",M261=IF(E261="Normal","Normal_Bin","Large_Bin"),N261="Yes"),"Yes","No")),"")))</x:f>
      </x:c>
      <x:c r="P261" s="99"/>
      <x:c r="Q261" s="101"/>
      <x:c r="R261" s="102"/>
    </x:row>
    <x:row r="262">
      <x:c r="A262" s="97"/>
      <x:c r="B262" s="98"/>
      <x:c r="C262" s="97"/>
      <x:c r="D262" s="96" t="str">
        <x:f>IF(OR(A262="",B262="",E262=""),"","R"&amp;TEXT(A262,"00")&amp;"-"&amp;B262&amp;"-"&amp;LEFT(E262,1)&amp;IF(COUNTIFS($A$2:A262,A262,$B$2:B262,B262,$E$2:E262,E262)&gt;1,"-"&amp;COUNTIFS($A$2:A262,A262,$B$2:B262,B262,$E$2:E262,E262),""))</x:f>
      </x:c>
      <x:c r="E262" s="99"/>
      <x:c r="F262" s="99"/>
      <x:c r="G262" s="99"/>
      <x:c r="H262" s="99"/>
      <x:c r="I262" s="100"/>
      <x:c r="J262" s="99"/>
      <x:c r="K262" s="99"/>
      <x:c r="L262" s="99"/>
      <x:c r="M262" s="99"/>
      <x:c r="N262" s="99"/>
      <x:c r="O262" s="96" t="str">
        <x:f>IF(E262="","",IF(E262="Small",IF(OR(F262="",G262="",H262=""),"",IF(AND(F262="Yes",G262="Small",H262="Skip"),"Yes","No")),IF(OR(E262="Normal",E262="Large"),IF(OR(F262="",G262="",H262="",K262="",L262="",M262="",N262=""),"",IF(AND(F262="Yes",G262=E262,H262="Pick",K262="Yes",L262="No",M262=IF(E262="Normal","Normal_Bin","Large_Bin"),N262="Yes"),"Yes","No")),"")))</x:f>
      </x:c>
      <x:c r="P262" s="99"/>
      <x:c r="Q262" s="101"/>
      <x:c r="R262" s="102"/>
    </x:row>
    <x:row r="263">
      <x:c r="A263" s="97"/>
      <x:c r="B263" s="98"/>
      <x:c r="C263" s="97"/>
      <x:c r="D263" s="96" t="str">
        <x:f>IF(OR(A263="",B263="",E263=""),"","R"&amp;TEXT(A263,"00")&amp;"-"&amp;B263&amp;"-"&amp;LEFT(E263,1)&amp;IF(COUNTIFS($A$2:A263,A263,$B$2:B263,B263,$E$2:E263,E263)&gt;1,"-"&amp;COUNTIFS($A$2:A263,A263,$B$2:B263,B263,$E$2:E263,E263),""))</x:f>
      </x:c>
      <x:c r="E263" s="99"/>
      <x:c r="F263" s="99"/>
      <x:c r="G263" s="99"/>
      <x:c r="H263" s="99"/>
      <x:c r="I263" s="100"/>
      <x:c r="J263" s="99"/>
      <x:c r="K263" s="99"/>
      <x:c r="L263" s="99"/>
      <x:c r="M263" s="99"/>
      <x:c r="N263" s="99"/>
      <x:c r="O263" s="96" t="str">
        <x:f>IF(E263="","",IF(E263="Small",IF(OR(F263="",G263="",H263=""),"",IF(AND(F263="Yes",G263="Small",H263="Skip"),"Yes","No")),IF(OR(E263="Normal",E263="Large"),IF(OR(F263="",G263="",H263="",K263="",L263="",M263="",N263=""),"",IF(AND(F263="Yes",G263=E263,H263="Pick",K263="Yes",L263="No",M263=IF(E263="Normal","Normal_Bin","Large_Bin"),N263="Yes"),"Yes","No")),"")))</x:f>
      </x:c>
      <x:c r="P263" s="99"/>
      <x:c r="Q263" s="101"/>
      <x:c r="R263" s="102"/>
    </x:row>
    <x:row r="264">
      <x:c r="A264" s="97"/>
      <x:c r="B264" s="98"/>
      <x:c r="C264" s="97"/>
      <x:c r="D264" s="96" t="str">
        <x:f>IF(OR(A264="",B264="",E264=""),"","R"&amp;TEXT(A264,"00")&amp;"-"&amp;B264&amp;"-"&amp;LEFT(E264,1)&amp;IF(COUNTIFS($A$2:A264,A264,$B$2:B264,B264,$E$2:E264,E264)&gt;1,"-"&amp;COUNTIFS($A$2:A264,A264,$B$2:B264,B264,$E$2:E264,E264),""))</x:f>
      </x:c>
      <x:c r="E264" s="99"/>
      <x:c r="F264" s="99"/>
      <x:c r="G264" s="99"/>
      <x:c r="H264" s="99"/>
      <x:c r="I264" s="100"/>
      <x:c r="J264" s="99"/>
      <x:c r="K264" s="99"/>
      <x:c r="L264" s="99"/>
      <x:c r="M264" s="99"/>
      <x:c r="N264" s="99"/>
      <x:c r="O264" s="96" t="str">
        <x:f>IF(E264="","",IF(E264="Small",IF(OR(F264="",G264="",H264=""),"",IF(AND(F264="Yes",G264="Small",H264="Skip"),"Yes","No")),IF(OR(E264="Normal",E264="Large"),IF(OR(F264="",G264="",H264="",K264="",L264="",M264="",N264=""),"",IF(AND(F264="Yes",G264=E264,H264="Pick",K264="Yes",L264="No",M264=IF(E264="Normal","Normal_Bin","Large_Bin"),N264="Yes"),"Yes","No")),"")))</x:f>
      </x:c>
      <x:c r="P264" s="99"/>
      <x:c r="Q264" s="101"/>
      <x:c r="R264" s="102"/>
    </x:row>
    <x:row r="265">
      <x:c r="A265" s="97"/>
      <x:c r="B265" s="98"/>
      <x:c r="C265" s="97"/>
      <x:c r="D265" s="96" t="str">
        <x:f>IF(OR(A265="",B265="",E265=""),"","R"&amp;TEXT(A265,"00")&amp;"-"&amp;B265&amp;"-"&amp;LEFT(E265,1)&amp;IF(COUNTIFS($A$2:A265,A265,$B$2:B265,B265,$E$2:E265,E265)&gt;1,"-"&amp;COUNTIFS($A$2:A265,A265,$B$2:B265,B265,$E$2:E265,E265),""))</x:f>
      </x:c>
      <x:c r="E265" s="99"/>
      <x:c r="F265" s="99"/>
      <x:c r="G265" s="99"/>
      <x:c r="H265" s="99"/>
      <x:c r="I265" s="100"/>
      <x:c r="J265" s="99"/>
      <x:c r="K265" s="99"/>
      <x:c r="L265" s="99"/>
      <x:c r="M265" s="99"/>
      <x:c r="N265" s="99"/>
      <x:c r="O265" s="96" t="str">
        <x:f>IF(E265="","",IF(E265="Small",IF(OR(F265="",G265="",H265=""),"",IF(AND(F265="Yes",G265="Small",H265="Skip"),"Yes","No")),IF(OR(E265="Normal",E265="Large"),IF(OR(F265="",G265="",H265="",K265="",L265="",M265="",N265=""),"",IF(AND(F265="Yes",G265=E265,H265="Pick",K265="Yes",L265="No",M265=IF(E265="Normal","Normal_Bin","Large_Bin"),N265="Yes"),"Yes","No")),"")))</x:f>
      </x:c>
      <x:c r="P265" s="99"/>
      <x:c r="Q265" s="101"/>
      <x:c r="R265" s="102"/>
    </x:row>
    <x:row r="266">
      <x:c r="A266" s="97"/>
      <x:c r="B266" s="98"/>
      <x:c r="C266" s="97"/>
      <x:c r="D266" s="96" t="str">
        <x:f>IF(OR(A266="",B266="",E266=""),"","R"&amp;TEXT(A266,"00")&amp;"-"&amp;B266&amp;"-"&amp;LEFT(E266,1)&amp;IF(COUNTIFS($A$2:A266,A266,$B$2:B266,B266,$E$2:E266,E266)&gt;1,"-"&amp;COUNTIFS($A$2:A266,A266,$B$2:B266,B266,$E$2:E266,E266),""))</x:f>
      </x:c>
      <x:c r="E266" s="99"/>
      <x:c r="F266" s="99"/>
      <x:c r="G266" s="99"/>
      <x:c r="H266" s="99"/>
      <x:c r="I266" s="100"/>
      <x:c r="J266" s="99"/>
      <x:c r="K266" s="99"/>
      <x:c r="L266" s="99"/>
      <x:c r="M266" s="99"/>
      <x:c r="N266" s="99"/>
      <x:c r="O266" s="96" t="str">
        <x:f>IF(E266="","",IF(E266="Small",IF(OR(F266="",G266="",H266=""),"",IF(AND(F266="Yes",G266="Small",H266="Skip"),"Yes","No")),IF(OR(E266="Normal",E266="Large"),IF(OR(F266="",G266="",H266="",K266="",L266="",M266="",N266=""),"",IF(AND(F266="Yes",G266=E266,H266="Pick",K266="Yes",L266="No",M266=IF(E266="Normal","Normal_Bin","Large_Bin"),N266="Yes"),"Yes","No")),"")))</x:f>
      </x:c>
      <x:c r="P266" s="99"/>
      <x:c r="Q266" s="101"/>
      <x:c r="R266" s="102"/>
    </x:row>
    <x:row r="267">
      <x:c r="A267" s="97"/>
      <x:c r="B267" s="98"/>
      <x:c r="C267" s="97"/>
      <x:c r="D267" s="96" t="str">
        <x:f>IF(OR(A267="",B267="",E267=""),"","R"&amp;TEXT(A267,"00")&amp;"-"&amp;B267&amp;"-"&amp;LEFT(E267,1)&amp;IF(COUNTIFS($A$2:A267,A267,$B$2:B267,B267,$E$2:E267,E267)&gt;1,"-"&amp;COUNTIFS($A$2:A267,A267,$B$2:B267,B267,$E$2:E267,E267),""))</x:f>
      </x:c>
      <x:c r="E267" s="99"/>
      <x:c r="F267" s="99"/>
      <x:c r="G267" s="99"/>
      <x:c r="H267" s="99"/>
      <x:c r="I267" s="100"/>
      <x:c r="J267" s="99"/>
      <x:c r="K267" s="99"/>
      <x:c r="L267" s="99"/>
      <x:c r="M267" s="99"/>
      <x:c r="N267" s="99"/>
      <x:c r="O267" s="96" t="str">
        <x:f>IF(E267="","",IF(E267="Small",IF(OR(F267="",G267="",H267=""),"",IF(AND(F267="Yes",G267="Small",H267="Skip"),"Yes","No")),IF(OR(E267="Normal",E267="Large"),IF(OR(F267="",G267="",H267="",K267="",L267="",M267="",N267=""),"",IF(AND(F267="Yes",G267=E267,H267="Pick",K267="Yes",L267="No",M267=IF(E267="Normal","Normal_Bin","Large_Bin"),N267="Yes"),"Yes","No")),"")))</x:f>
      </x:c>
      <x:c r="P267" s="99"/>
      <x:c r="Q267" s="101"/>
      <x:c r="R267" s="102"/>
    </x:row>
    <x:row r="268">
      <x:c r="A268" s="97"/>
      <x:c r="B268" s="98"/>
      <x:c r="C268" s="97"/>
      <x:c r="D268" s="96" t="str">
        <x:f>IF(OR(A268="",B268="",E268=""),"","R"&amp;TEXT(A268,"00")&amp;"-"&amp;B268&amp;"-"&amp;LEFT(E268,1)&amp;IF(COUNTIFS($A$2:A268,A268,$B$2:B268,B268,$E$2:E268,E268)&gt;1,"-"&amp;COUNTIFS($A$2:A268,A268,$B$2:B268,B268,$E$2:E268,E268),""))</x:f>
      </x:c>
      <x:c r="E268" s="99"/>
      <x:c r="F268" s="99"/>
      <x:c r="G268" s="99"/>
      <x:c r="H268" s="99"/>
      <x:c r="I268" s="100"/>
      <x:c r="J268" s="99"/>
      <x:c r="K268" s="99"/>
      <x:c r="L268" s="99"/>
      <x:c r="M268" s="99"/>
      <x:c r="N268" s="99"/>
      <x:c r="O268" s="96" t="str">
        <x:f>IF(E268="","",IF(E268="Small",IF(OR(F268="",G268="",H268=""),"",IF(AND(F268="Yes",G268="Small",H268="Skip"),"Yes","No")),IF(OR(E268="Normal",E268="Large"),IF(OR(F268="",G268="",H268="",K268="",L268="",M268="",N268=""),"",IF(AND(F268="Yes",G268=E268,H268="Pick",K268="Yes",L268="No",M268=IF(E268="Normal","Normal_Bin","Large_Bin"),N268="Yes"),"Yes","No")),"")))</x:f>
      </x:c>
      <x:c r="P268" s="99"/>
      <x:c r="Q268" s="101"/>
      <x:c r="R268" s="102"/>
    </x:row>
    <x:row r="269">
      <x:c r="A269" s="97"/>
      <x:c r="B269" s="98"/>
      <x:c r="C269" s="97"/>
      <x:c r="D269" s="96" t="str">
        <x:f>IF(OR(A269="",B269="",E269=""),"","R"&amp;TEXT(A269,"00")&amp;"-"&amp;B269&amp;"-"&amp;LEFT(E269,1)&amp;IF(COUNTIFS($A$2:A269,A269,$B$2:B269,B269,$E$2:E269,E269)&gt;1,"-"&amp;COUNTIFS($A$2:A269,A269,$B$2:B269,B269,$E$2:E269,E269),""))</x:f>
      </x:c>
      <x:c r="E269" s="99"/>
      <x:c r="F269" s="99"/>
      <x:c r="G269" s="99"/>
      <x:c r="H269" s="99"/>
      <x:c r="I269" s="100"/>
      <x:c r="J269" s="99"/>
      <x:c r="K269" s="99"/>
      <x:c r="L269" s="99"/>
      <x:c r="M269" s="99"/>
      <x:c r="N269" s="99"/>
      <x:c r="O269" s="96" t="str">
        <x:f>IF(E269="","",IF(E269="Small",IF(OR(F269="",G269="",H269=""),"",IF(AND(F269="Yes",G269="Small",H269="Skip"),"Yes","No")),IF(OR(E269="Normal",E269="Large"),IF(OR(F269="",G269="",H269="",K269="",L269="",M269="",N269=""),"",IF(AND(F269="Yes",G269=E269,H269="Pick",K269="Yes",L269="No",M269=IF(E269="Normal","Normal_Bin","Large_Bin"),N269="Yes"),"Yes","No")),"")))</x:f>
      </x:c>
      <x:c r="P269" s="99"/>
      <x:c r="Q269" s="101"/>
      <x:c r="R269" s="102"/>
    </x:row>
    <x:row r="270">
      <x:c r="A270" s="97"/>
      <x:c r="B270" s="98"/>
      <x:c r="C270" s="97"/>
      <x:c r="D270" s="96" t="str">
        <x:f>IF(OR(A270="",B270="",E270=""),"","R"&amp;TEXT(A270,"00")&amp;"-"&amp;B270&amp;"-"&amp;LEFT(E270,1)&amp;IF(COUNTIFS($A$2:A270,A270,$B$2:B270,B270,$E$2:E270,E270)&gt;1,"-"&amp;COUNTIFS($A$2:A270,A270,$B$2:B270,B270,$E$2:E270,E270),""))</x:f>
      </x:c>
      <x:c r="E270" s="99"/>
      <x:c r="F270" s="99"/>
      <x:c r="G270" s="99"/>
      <x:c r="H270" s="99"/>
      <x:c r="I270" s="100"/>
      <x:c r="J270" s="99"/>
      <x:c r="K270" s="99"/>
      <x:c r="L270" s="99"/>
      <x:c r="M270" s="99"/>
      <x:c r="N270" s="99"/>
      <x:c r="O270" s="96" t="str">
        <x:f>IF(E270="","",IF(E270="Small",IF(OR(F270="",G270="",H270=""),"",IF(AND(F270="Yes",G270="Small",H270="Skip"),"Yes","No")),IF(OR(E270="Normal",E270="Large"),IF(OR(F270="",G270="",H270="",K270="",L270="",M270="",N270=""),"",IF(AND(F270="Yes",G270=E270,H270="Pick",K270="Yes",L270="No",M270=IF(E270="Normal","Normal_Bin","Large_Bin"),N270="Yes"),"Yes","No")),"")))</x:f>
      </x:c>
      <x:c r="P270" s="99"/>
      <x:c r="Q270" s="101"/>
      <x:c r="R270" s="102"/>
    </x:row>
    <x:row r="271">
      <x:c r="A271" s="97"/>
      <x:c r="B271" s="98"/>
      <x:c r="C271" s="97"/>
      <x:c r="D271" s="96" t="str">
        <x:f>IF(OR(A271="",B271="",E271=""),"","R"&amp;TEXT(A271,"00")&amp;"-"&amp;B271&amp;"-"&amp;LEFT(E271,1)&amp;IF(COUNTIFS($A$2:A271,A271,$B$2:B271,B271,$E$2:E271,E271)&gt;1,"-"&amp;COUNTIFS($A$2:A271,A271,$B$2:B271,B271,$E$2:E271,E271),""))</x:f>
      </x:c>
      <x:c r="E271" s="99"/>
      <x:c r="F271" s="99"/>
      <x:c r="G271" s="99"/>
      <x:c r="H271" s="99"/>
      <x:c r="I271" s="100"/>
      <x:c r="J271" s="99"/>
      <x:c r="K271" s="99"/>
      <x:c r="L271" s="99"/>
      <x:c r="M271" s="99"/>
      <x:c r="N271" s="99"/>
      <x:c r="O271" s="96" t="str">
        <x:f>IF(E271="","",IF(E271="Small",IF(OR(F271="",G271="",H271=""),"",IF(AND(F271="Yes",G271="Small",H271="Skip"),"Yes","No")),IF(OR(E271="Normal",E271="Large"),IF(OR(F271="",G271="",H271="",K271="",L271="",M271="",N271=""),"",IF(AND(F271="Yes",G271=E271,H271="Pick",K271="Yes",L271="No",M271=IF(E271="Normal","Normal_Bin","Large_Bin"),N271="Yes"),"Yes","No")),"")))</x:f>
      </x:c>
      <x:c r="P271" s="99"/>
      <x:c r="Q271" s="101"/>
      <x:c r="R271" s="102"/>
    </x:row>
    <x:row r="272">
      <x:c r="A272" s="97"/>
      <x:c r="B272" s="98"/>
      <x:c r="C272" s="97"/>
      <x:c r="D272" s="96" t="str">
        <x:f>IF(OR(A272="",B272="",E272=""),"","R"&amp;TEXT(A272,"00")&amp;"-"&amp;B272&amp;"-"&amp;LEFT(E272,1)&amp;IF(COUNTIFS($A$2:A272,A272,$B$2:B272,B272,$E$2:E272,E272)&gt;1,"-"&amp;COUNTIFS($A$2:A272,A272,$B$2:B272,B272,$E$2:E272,E272),""))</x:f>
      </x:c>
      <x:c r="E272" s="99"/>
      <x:c r="F272" s="99"/>
      <x:c r="G272" s="99"/>
      <x:c r="H272" s="99"/>
      <x:c r="I272" s="100"/>
      <x:c r="J272" s="99"/>
      <x:c r="K272" s="99"/>
      <x:c r="L272" s="99"/>
      <x:c r="M272" s="99"/>
      <x:c r="N272" s="99"/>
      <x:c r="O272" s="96" t="str">
        <x:f>IF(E272="","",IF(E272="Small",IF(OR(F272="",G272="",H272=""),"",IF(AND(F272="Yes",G272="Small",H272="Skip"),"Yes","No")),IF(OR(E272="Normal",E272="Large"),IF(OR(F272="",G272="",H272="",K272="",L272="",M272="",N272=""),"",IF(AND(F272="Yes",G272=E272,H272="Pick",K272="Yes",L272="No",M272=IF(E272="Normal","Normal_Bin","Large_Bin"),N272="Yes"),"Yes","No")),"")))</x:f>
      </x:c>
      <x:c r="P272" s="99"/>
      <x:c r="Q272" s="101"/>
      <x:c r="R272" s="102"/>
    </x:row>
    <x:row r="273">
      <x:c r="A273" s="97"/>
      <x:c r="B273" s="98"/>
      <x:c r="C273" s="97"/>
      <x:c r="D273" s="96" t="str">
        <x:f>IF(OR(A273="",B273="",E273=""),"","R"&amp;TEXT(A273,"00")&amp;"-"&amp;B273&amp;"-"&amp;LEFT(E273,1)&amp;IF(COUNTIFS($A$2:A273,A273,$B$2:B273,B273,$E$2:E273,E273)&gt;1,"-"&amp;COUNTIFS($A$2:A273,A273,$B$2:B273,B273,$E$2:E273,E273),""))</x:f>
      </x:c>
      <x:c r="E273" s="99"/>
      <x:c r="F273" s="99"/>
      <x:c r="G273" s="99"/>
      <x:c r="H273" s="99"/>
      <x:c r="I273" s="100"/>
      <x:c r="J273" s="99"/>
      <x:c r="K273" s="99"/>
      <x:c r="L273" s="99"/>
      <x:c r="M273" s="99"/>
      <x:c r="N273" s="99"/>
      <x:c r="O273" s="96" t="str">
        <x:f>IF(E273="","",IF(E273="Small",IF(OR(F273="",G273="",H273=""),"",IF(AND(F273="Yes",G273="Small",H273="Skip"),"Yes","No")),IF(OR(E273="Normal",E273="Large"),IF(OR(F273="",G273="",H273="",K273="",L273="",M273="",N273=""),"",IF(AND(F273="Yes",G273=E273,H273="Pick",K273="Yes",L273="No",M273=IF(E273="Normal","Normal_Bin","Large_Bin"),N273="Yes"),"Yes","No")),"")))</x:f>
      </x:c>
      <x:c r="P273" s="99"/>
      <x:c r="Q273" s="101"/>
      <x:c r="R273" s="102"/>
    </x:row>
    <x:row r="274">
      <x:c r="A274" s="97"/>
      <x:c r="B274" s="98"/>
      <x:c r="C274" s="97"/>
      <x:c r="D274" s="96" t="str">
        <x:f>IF(OR(A274="",B274="",E274=""),"","R"&amp;TEXT(A274,"00")&amp;"-"&amp;B274&amp;"-"&amp;LEFT(E274,1)&amp;IF(COUNTIFS($A$2:A274,A274,$B$2:B274,B274,$E$2:E274,E274)&gt;1,"-"&amp;COUNTIFS($A$2:A274,A274,$B$2:B274,B274,$E$2:E274,E274),""))</x:f>
      </x:c>
      <x:c r="E274" s="99"/>
      <x:c r="F274" s="99"/>
      <x:c r="G274" s="99"/>
      <x:c r="H274" s="99"/>
      <x:c r="I274" s="100"/>
      <x:c r="J274" s="99"/>
      <x:c r="K274" s="99"/>
      <x:c r="L274" s="99"/>
      <x:c r="M274" s="99"/>
      <x:c r="N274" s="99"/>
      <x:c r="O274" s="96" t="str">
        <x:f>IF(E274="","",IF(E274="Small",IF(OR(F274="",G274="",H274=""),"",IF(AND(F274="Yes",G274="Small",H274="Skip"),"Yes","No")),IF(OR(E274="Normal",E274="Large"),IF(OR(F274="",G274="",H274="",K274="",L274="",M274="",N274=""),"",IF(AND(F274="Yes",G274=E274,H274="Pick",K274="Yes",L274="No",M274=IF(E274="Normal","Normal_Bin","Large_Bin"),N274="Yes"),"Yes","No")),"")))</x:f>
      </x:c>
      <x:c r="P274" s="99"/>
      <x:c r="Q274" s="101"/>
      <x:c r="R274" s="102"/>
    </x:row>
    <x:row r="275">
      <x:c r="A275" s="97"/>
      <x:c r="B275" s="98"/>
      <x:c r="C275" s="97"/>
      <x:c r="D275" s="96" t="str">
        <x:f>IF(OR(A275="",B275="",E275=""),"","R"&amp;TEXT(A275,"00")&amp;"-"&amp;B275&amp;"-"&amp;LEFT(E275,1)&amp;IF(COUNTIFS($A$2:A275,A275,$B$2:B275,B275,$E$2:E275,E275)&gt;1,"-"&amp;COUNTIFS($A$2:A275,A275,$B$2:B275,B275,$E$2:E275,E275),""))</x:f>
      </x:c>
      <x:c r="E275" s="99"/>
      <x:c r="F275" s="99"/>
      <x:c r="G275" s="99"/>
      <x:c r="H275" s="99"/>
      <x:c r="I275" s="100"/>
      <x:c r="J275" s="99"/>
      <x:c r="K275" s="99"/>
      <x:c r="L275" s="99"/>
      <x:c r="M275" s="99"/>
      <x:c r="N275" s="99"/>
      <x:c r="O275" s="96" t="str">
        <x:f>IF(E275="","",IF(E275="Small",IF(OR(F275="",G275="",H275=""),"",IF(AND(F275="Yes",G275="Small",H275="Skip"),"Yes","No")),IF(OR(E275="Normal",E275="Large"),IF(OR(F275="",G275="",H275="",K275="",L275="",M275="",N275=""),"",IF(AND(F275="Yes",G275=E275,H275="Pick",K275="Yes",L275="No",M275=IF(E275="Normal","Normal_Bin","Large_Bin"),N275="Yes"),"Yes","No")),"")))</x:f>
      </x:c>
      <x:c r="P275" s="99"/>
      <x:c r="Q275" s="101"/>
      <x:c r="R275" s="102"/>
    </x:row>
    <x:row r="276">
      <x:c r="A276" s="97"/>
      <x:c r="B276" s="98"/>
      <x:c r="C276" s="97"/>
      <x:c r="D276" s="96" t="str">
        <x:f>IF(OR(A276="",B276="",E276=""),"","R"&amp;TEXT(A276,"00")&amp;"-"&amp;B276&amp;"-"&amp;LEFT(E276,1)&amp;IF(COUNTIFS($A$2:A276,A276,$B$2:B276,B276,$E$2:E276,E276)&gt;1,"-"&amp;COUNTIFS($A$2:A276,A276,$B$2:B276,B276,$E$2:E276,E276),""))</x:f>
      </x:c>
      <x:c r="E276" s="99"/>
      <x:c r="F276" s="99"/>
      <x:c r="G276" s="99"/>
      <x:c r="H276" s="99"/>
      <x:c r="I276" s="100"/>
      <x:c r="J276" s="99"/>
      <x:c r="K276" s="99"/>
      <x:c r="L276" s="99"/>
      <x:c r="M276" s="99"/>
      <x:c r="N276" s="99"/>
      <x:c r="O276" s="96" t="str">
        <x:f>IF(E276="","",IF(E276="Small",IF(OR(F276="",G276="",H276=""),"",IF(AND(F276="Yes",G276="Small",H276="Skip"),"Yes","No")),IF(OR(E276="Normal",E276="Large"),IF(OR(F276="",G276="",H276="",K276="",L276="",M276="",N276=""),"",IF(AND(F276="Yes",G276=E276,H276="Pick",K276="Yes",L276="No",M276=IF(E276="Normal","Normal_Bin","Large_Bin"),N276="Yes"),"Yes","No")),"")))</x:f>
      </x:c>
      <x:c r="P276" s="99"/>
      <x:c r="Q276" s="101"/>
      <x:c r="R276" s="102"/>
    </x:row>
    <x:row r="277">
      <x:c r="A277" s="97"/>
      <x:c r="B277" s="98"/>
      <x:c r="C277" s="97"/>
      <x:c r="D277" s="96" t="str">
        <x:f>IF(OR(A277="",B277="",E277=""),"","R"&amp;TEXT(A277,"00")&amp;"-"&amp;B277&amp;"-"&amp;LEFT(E277,1)&amp;IF(COUNTIFS($A$2:A277,A277,$B$2:B277,B277,$E$2:E277,E277)&gt;1,"-"&amp;COUNTIFS($A$2:A277,A277,$B$2:B277,B277,$E$2:E277,E277),""))</x:f>
      </x:c>
      <x:c r="E277" s="99"/>
      <x:c r="F277" s="99"/>
      <x:c r="G277" s="99"/>
      <x:c r="H277" s="99"/>
      <x:c r="I277" s="100"/>
      <x:c r="J277" s="99"/>
      <x:c r="K277" s="99"/>
      <x:c r="L277" s="99"/>
      <x:c r="M277" s="99"/>
      <x:c r="N277" s="99"/>
      <x:c r="O277" s="96" t="str">
        <x:f>IF(E277="","",IF(E277="Small",IF(OR(F277="",G277="",H277=""),"",IF(AND(F277="Yes",G277="Small",H277="Skip"),"Yes","No")),IF(OR(E277="Normal",E277="Large"),IF(OR(F277="",G277="",H277="",K277="",L277="",M277="",N277=""),"",IF(AND(F277="Yes",G277=E277,H277="Pick",K277="Yes",L277="No",M277=IF(E277="Normal","Normal_Bin","Large_Bin"),N277="Yes"),"Yes","No")),"")))</x:f>
      </x:c>
      <x:c r="P277" s="99"/>
      <x:c r="Q277" s="101"/>
      <x:c r="R277" s="102"/>
    </x:row>
    <x:row r="278">
      <x:c r="A278" s="97"/>
      <x:c r="B278" s="98"/>
      <x:c r="C278" s="97"/>
      <x:c r="D278" s="96" t="str">
        <x:f>IF(OR(A278="",B278="",E278=""),"","R"&amp;TEXT(A278,"00")&amp;"-"&amp;B278&amp;"-"&amp;LEFT(E278,1)&amp;IF(COUNTIFS($A$2:A278,A278,$B$2:B278,B278,$E$2:E278,E278)&gt;1,"-"&amp;COUNTIFS($A$2:A278,A278,$B$2:B278,B278,$E$2:E278,E278),""))</x:f>
      </x:c>
      <x:c r="E278" s="99"/>
      <x:c r="F278" s="99"/>
      <x:c r="G278" s="99"/>
      <x:c r="H278" s="99"/>
      <x:c r="I278" s="100"/>
      <x:c r="J278" s="99"/>
      <x:c r="K278" s="99"/>
      <x:c r="L278" s="99"/>
      <x:c r="M278" s="99"/>
      <x:c r="N278" s="99"/>
      <x:c r="O278" s="96" t="str">
        <x:f>IF(E278="","",IF(E278="Small",IF(OR(F278="",G278="",H278=""),"",IF(AND(F278="Yes",G278="Small",H278="Skip"),"Yes","No")),IF(OR(E278="Normal",E278="Large"),IF(OR(F278="",G278="",H278="",K278="",L278="",M278="",N278=""),"",IF(AND(F278="Yes",G278=E278,H278="Pick",K278="Yes",L278="No",M278=IF(E278="Normal","Normal_Bin","Large_Bin"),N278="Yes"),"Yes","No")),"")))</x:f>
      </x:c>
      <x:c r="P278" s="99"/>
      <x:c r="Q278" s="101"/>
      <x:c r="R278" s="102"/>
    </x:row>
    <x:row r="279">
      <x:c r="A279" s="97"/>
      <x:c r="B279" s="98"/>
      <x:c r="C279" s="97"/>
      <x:c r="D279" s="96" t="str">
        <x:f>IF(OR(A279="",B279="",E279=""),"","R"&amp;TEXT(A279,"00")&amp;"-"&amp;B279&amp;"-"&amp;LEFT(E279,1)&amp;IF(COUNTIFS($A$2:A279,A279,$B$2:B279,B279,$E$2:E279,E279)&gt;1,"-"&amp;COUNTIFS($A$2:A279,A279,$B$2:B279,B279,$E$2:E279,E279),""))</x:f>
      </x:c>
      <x:c r="E279" s="99"/>
      <x:c r="F279" s="99"/>
      <x:c r="G279" s="99"/>
      <x:c r="H279" s="99"/>
      <x:c r="I279" s="100"/>
      <x:c r="J279" s="99"/>
      <x:c r="K279" s="99"/>
      <x:c r="L279" s="99"/>
      <x:c r="M279" s="99"/>
      <x:c r="N279" s="99"/>
      <x:c r="O279" s="96" t="str">
        <x:f>IF(E279="","",IF(E279="Small",IF(OR(F279="",G279="",H279=""),"",IF(AND(F279="Yes",G279="Small",H279="Skip"),"Yes","No")),IF(OR(E279="Normal",E279="Large"),IF(OR(F279="",G279="",H279="",K279="",L279="",M279="",N279=""),"",IF(AND(F279="Yes",G279=E279,H279="Pick",K279="Yes",L279="No",M279=IF(E279="Normal","Normal_Bin","Large_Bin"),N279="Yes"),"Yes","No")),"")))</x:f>
      </x:c>
      <x:c r="P279" s="99"/>
      <x:c r="Q279" s="101"/>
      <x:c r="R279" s="102"/>
    </x:row>
    <x:row r="280">
      <x:c r="A280" s="97"/>
      <x:c r="B280" s="98"/>
      <x:c r="C280" s="97"/>
      <x:c r="D280" s="96" t="str">
        <x:f>IF(OR(A280="",B280="",E280=""),"","R"&amp;TEXT(A280,"00")&amp;"-"&amp;B280&amp;"-"&amp;LEFT(E280,1)&amp;IF(COUNTIFS($A$2:A280,A280,$B$2:B280,B280,$E$2:E280,E280)&gt;1,"-"&amp;COUNTIFS($A$2:A280,A280,$B$2:B280,B280,$E$2:E280,E280),""))</x:f>
      </x:c>
      <x:c r="E280" s="99"/>
      <x:c r="F280" s="99"/>
      <x:c r="G280" s="99"/>
      <x:c r="H280" s="99"/>
      <x:c r="I280" s="100"/>
      <x:c r="J280" s="99"/>
      <x:c r="K280" s="99"/>
      <x:c r="L280" s="99"/>
      <x:c r="M280" s="99"/>
      <x:c r="N280" s="99"/>
      <x:c r="O280" s="96" t="str">
        <x:f>IF(E280="","",IF(E280="Small",IF(OR(F280="",G280="",H280=""),"",IF(AND(F280="Yes",G280="Small",H280="Skip"),"Yes","No")),IF(OR(E280="Normal",E280="Large"),IF(OR(F280="",G280="",H280="",K280="",L280="",M280="",N280=""),"",IF(AND(F280="Yes",G280=E280,H280="Pick",K280="Yes",L280="No",M280=IF(E280="Normal","Normal_Bin","Large_Bin"),N280="Yes"),"Yes","No")),"")))</x:f>
      </x:c>
      <x:c r="P280" s="99"/>
      <x:c r="Q280" s="101"/>
      <x:c r="R280" s="102"/>
    </x:row>
    <x:row r="281">
      <x:c r="A281" s="97"/>
      <x:c r="B281" s="98"/>
      <x:c r="C281" s="97"/>
      <x:c r="D281" s="96" t="str">
        <x:f>IF(OR(A281="",B281="",E281=""),"","R"&amp;TEXT(A281,"00")&amp;"-"&amp;B281&amp;"-"&amp;LEFT(E281,1)&amp;IF(COUNTIFS($A$2:A281,A281,$B$2:B281,B281,$E$2:E281,E281)&gt;1,"-"&amp;COUNTIFS($A$2:A281,A281,$B$2:B281,B281,$E$2:E281,E281),""))</x:f>
      </x:c>
      <x:c r="E281" s="99"/>
      <x:c r="F281" s="99"/>
      <x:c r="G281" s="99"/>
      <x:c r="H281" s="99"/>
      <x:c r="I281" s="100"/>
      <x:c r="J281" s="99"/>
      <x:c r="K281" s="99"/>
      <x:c r="L281" s="99"/>
      <x:c r="M281" s="99"/>
      <x:c r="N281" s="99"/>
      <x:c r="O281" s="96" t="str">
        <x:f>IF(E281="","",IF(E281="Small",IF(OR(F281="",G281="",H281=""),"",IF(AND(F281="Yes",G281="Small",H281="Skip"),"Yes","No")),IF(OR(E281="Normal",E281="Large"),IF(OR(F281="",G281="",H281="",K281="",L281="",M281="",N281=""),"",IF(AND(F281="Yes",G281=E281,H281="Pick",K281="Yes",L281="No",M281=IF(E281="Normal","Normal_Bin","Large_Bin"),N281="Yes"),"Yes","No")),"")))</x:f>
      </x:c>
      <x:c r="P281" s="99"/>
      <x:c r="Q281" s="101"/>
      <x:c r="R281" s="102"/>
    </x:row>
    <x:row r="282">
      <x:c r="A282" s="97"/>
      <x:c r="B282" s="98"/>
      <x:c r="C282" s="97"/>
      <x:c r="D282" s="96" t="str">
        <x:f>IF(OR(A282="",B282="",E282=""),"","R"&amp;TEXT(A282,"00")&amp;"-"&amp;B282&amp;"-"&amp;LEFT(E282,1)&amp;IF(COUNTIFS($A$2:A282,A282,$B$2:B282,B282,$E$2:E282,E282)&gt;1,"-"&amp;COUNTIFS($A$2:A282,A282,$B$2:B282,B282,$E$2:E282,E282),""))</x:f>
      </x:c>
      <x:c r="E282" s="99"/>
      <x:c r="F282" s="99"/>
      <x:c r="G282" s="99"/>
      <x:c r="H282" s="99"/>
      <x:c r="I282" s="100"/>
      <x:c r="J282" s="99"/>
      <x:c r="K282" s="99"/>
      <x:c r="L282" s="99"/>
      <x:c r="M282" s="99"/>
      <x:c r="N282" s="99"/>
      <x:c r="O282" s="96" t="str">
        <x:f>IF(E282="","",IF(E282="Small",IF(OR(F282="",G282="",H282=""),"",IF(AND(F282="Yes",G282="Small",H282="Skip"),"Yes","No")),IF(OR(E282="Normal",E282="Large"),IF(OR(F282="",G282="",H282="",K282="",L282="",M282="",N282=""),"",IF(AND(F282="Yes",G282=E282,H282="Pick",K282="Yes",L282="No",M282=IF(E282="Normal","Normal_Bin","Large_Bin"),N282="Yes"),"Yes","No")),"")))</x:f>
      </x:c>
      <x:c r="P282" s="99"/>
      <x:c r="Q282" s="101"/>
      <x:c r="R282" s="102"/>
    </x:row>
    <x:row r="283">
      <x:c r="A283" s="97"/>
      <x:c r="B283" s="98"/>
      <x:c r="C283" s="97"/>
      <x:c r="D283" s="96" t="str">
        <x:f>IF(OR(A283="",B283="",E283=""),"","R"&amp;TEXT(A283,"00")&amp;"-"&amp;B283&amp;"-"&amp;LEFT(E283,1)&amp;IF(COUNTIFS($A$2:A283,A283,$B$2:B283,B283,$E$2:E283,E283)&gt;1,"-"&amp;COUNTIFS($A$2:A283,A283,$B$2:B283,B283,$E$2:E283,E283),""))</x:f>
      </x:c>
      <x:c r="E283" s="99"/>
      <x:c r="F283" s="99"/>
      <x:c r="G283" s="99"/>
      <x:c r="H283" s="99"/>
      <x:c r="I283" s="100"/>
      <x:c r="J283" s="99"/>
      <x:c r="K283" s="99"/>
      <x:c r="L283" s="99"/>
      <x:c r="M283" s="99"/>
      <x:c r="N283" s="99"/>
      <x:c r="O283" s="96" t="str">
        <x:f>IF(E283="","",IF(E283="Small",IF(OR(F283="",G283="",H283=""),"",IF(AND(F283="Yes",G283="Small",H283="Skip"),"Yes","No")),IF(OR(E283="Normal",E283="Large"),IF(OR(F283="",G283="",H283="",K283="",L283="",M283="",N283=""),"",IF(AND(F283="Yes",G283=E283,H283="Pick",K283="Yes",L283="No",M283=IF(E283="Normal","Normal_Bin","Large_Bin"),N283="Yes"),"Yes","No")),"")))</x:f>
      </x:c>
      <x:c r="P283" s="99"/>
      <x:c r="Q283" s="101"/>
      <x:c r="R283" s="102"/>
    </x:row>
    <x:row r="284">
      <x:c r="A284" s="97"/>
      <x:c r="B284" s="98"/>
      <x:c r="C284" s="97"/>
      <x:c r="D284" s="96" t="str">
        <x:f>IF(OR(A284="",B284="",E284=""),"","R"&amp;TEXT(A284,"00")&amp;"-"&amp;B284&amp;"-"&amp;LEFT(E284,1)&amp;IF(COUNTIFS($A$2:A284,A284,$B$2:B284,B284,$E$2:E284,E284)&gt;1,"-"&amp;COUNTIFS($A$2:A284,A284,$B$2:B284,B284,$E$2:E284,E284),""))</x:f>
      </x:c>
      <x:c r="E284" s="99"/>
      <x:c r="F284" s="99"/>
      <x:c r="G284" s="99"/>
      <x:c r="H284" s="99"/>
      <x:c r="I284" s="100"/>
      <x:c r="J284" s="99"/>
      <x:c r="K284" s="99"/>
      <x:c r="L284" s="99"/>
      <x:c r="M284" s="99"/>
      <x:c r="N284" s="99"/>
      <x:c r="O284" s="96" t="str">
        <x:f>IF(E284="","",IF(E284="Small",IF(OR(F284="",G284="",H284=""),"",IF(AND(F284="Yes",G284="Small",H284="Skip"),"Yes","No")),IF(OR(E284="Normal",E284="Large"),IF(OR(F284="",G284="",H284="",K284="",L284="",M284="",N284=""),"",IF(AND(F284="Yes",G284=E284,H284="Pick",K284="Yes",L284="No",M284=IF(E284="Normal","Normal_Bin","Large_Bin"),N284="Yes"),"Yes","No")),"")))</x:f>
      </x:c>
      <x:c r="P284" s="99"/>
      <x:c r="Q284" s="101"/>
      <x:c r="R284" s="102"/>
    </x:row>
    <x:row r="285">
      <x:c r="A285" s="97"/>
      <x:c r="B285" s="98"/>
      <x:c r="C285" s="97"/>
      <x:c r="D285" s="96" t="str">
        <x:f>IF(OR(A285="",B285="",E285=""),"","R"&amp;TEXT(A285,"00")&amp;"-"&amp;B285&amp;"-"&amp;LEFT(E285,1)&amp;IF(COUNTIFS($A$2:A285,A285,$B$2:B285,B285,$E$2:E285,E285)&gt;1,"-"&amp;COUNTIFS($A$2:A285,A285,$B$2:B285,B285,$E$2:E285,E285),""))</x:f>
      </x:c>
      <x:c r="E285" s="99"/>
      <x:c r="F285" s="99"/>
      <x:c r="G285" s="99"/>
      <x:c r="H285" s="99"/>
      <x:c r="I285" s="100"/>
      <x:c r="J285" s="99"/>
      <x:c r="K285" s="99"/>
      <x:c r="L285" s="99"/>
      <x:c r="M285" s="99"/>
      <x:c r="N285" s="99"/>
      <x:c r="O285" s="96" t="str">
        <x:f>IF(E285="","",IF(E285="Small",IF(OR(F285="",G285="",H285=""),"",IF(AND(F285="Yes",G285="Small",H285="Skip"),"Yes","No")),IF(OR(E285="Normal",E285="Large"),IF(OR(F285="",G285="",H285="",K285="",L285="",M285="",N285=""),"",IF(AND(F285="Yes",G285=E285,H285="Pick",K285="Yes",L285="No",M285=IF(E285="Normal","Normal_Bin","Large_Bin"),N285="Yes"),"Yes","No")),"")))</x:f>
      </x:c>
      <x:c r="P285" s="99"/>
      <x:c r="Q285" s="101"/>
      <x:c r="R285" s="102"/>
    </x:row>
    <x:row r="286">
      <x:c r="A286" s="97"/>
      <x:c r="B286" s="98"/>
      <x:c r="C286" s="97"/>
      <x:c r="D286" s="96" t="str">
        <x:f>IF(OR(A286="",B286="",E286=""),"","R"&amp;TEXT(A286,"00")&amp;"-"&amp;B286&amp;"-"&amp;LEFT(E286,1)&amp;IF(COUNTIFS($A$2:A286,A286,$B$2:B286,B286,$E$2:E286,E286)&gt;1,"-"&amp;COUNTIFS($A$2:A286,A286,$B$2:B286,B286,$E$2:E286,E286),""))</x:f>
      </x:c>
      <x:c r="E286" s="99"/>
      <x:c r="F286" s="99"/>
      <x:c r="G286" s="99"/>
      <x:c r="H286" s="99"/>
      <x:c r="I286" s="100"/>
      <x:c r="J286" s="99"/>
      <x:c r="K286" s="99"/>
      <x:c r="L286" s="99"/>
      <x:c r="M286" s="99"/>
      <x:c r="N286" s="99"/>
      <x:c r="O286" s="96" t="str">
        <x:f>IF(E286="","",IF(E286="Small",IF(OR(F286="",G286="",H286=""),"",IF(AND(F286="Yes",G286="Small",H286="Skip"),"Yes","No")),IF(OR(E286="Normal",E286="Large"),IF(OR(F286="",G286="",H286="",K286="",L286="",M286="",N286=""),"",IF(AND(F286="Yes",G286=E286,H286="Pick",K286="Yes",L286="No",M286=IF(E286="Normal","Normal_Bin","Large_Bin"),N286="Yes"),"Yes","No")),"")))</x:f>
      </x:c>
      <x:c r="P286" s="99"/>
      <x:c r="Q286" s="101"/>
      <x:c r="R286" s="102"/>
    </x:row>
    <x:row r="287">
      <x:c r="A287" s="97"/>
      <x:c r="B287" s="98"/>
      <x:c r="C287" s="97"/>
      <x:c r="D287" s="96" t="str">
        <x:f>IF(OR(A287="",B287="",E287=""),"","R"&amp;TEXT(A287,"00")&amp;"-"&amp;B287&amp;"-"&amp;LEFT(E287,1)&amp;IF(COUNTIFS($A$2:A287,A287,$B$2:B287,B287,$E$2:E287,E287)&gt;1,"-"&amp;COUNTIFS($A$2:A287,A287,$B$2:B287,B287,$E$2:E287,E287),""))</x:f>
      </x:c>
      <x:c r="E287" s="99"/>
      <x:c r="F287" s="99"/>
      <x:c r="G287" s="99"/>
      <x:c r="H287" s="99"/>
      <x:c r="I287" s="100"/>
      <x:c r="J287" s="99"/>
      <x:c r="K287" s="99"/>
      <x:c r="L287" s="99"/>
      <x:c r="M287" s="99"/>
      <x:c r="N287" s="99"/>
      <x:c r="O287" s="96" t="str">
        <x:f>IF(E287="","",IF(E287="Small",IF(OR(F287="",G287="",H287=""),"",IF(AND(F287="Yes",G287="Small",H287="Skip"),"Yes","No")),IF(OR(E287="Normal",E287="Large"),IF(OR(F287="",G287="",H287="",K287="",L287="",M287="",N287=""),"",IF(AND(F287="Yes",G287=E287,H287="Pick",K287="Yes",L287="No",M287=IF(E287="Normal","Normal_Bin","Large_Bin"),N287="Yes"),"Yes","No")),"")))</x:f>
      </x:c>
      <x:c r="P287" s="99"/>
      <x:c r="Q287" s="101"/>
      <x:c r="R287" s="102"/>
    </x:row>
    <x:row r="288">
      <x:c r="A288" s="97"/>
      <x:c r="B288" s="98"/>
      <x:c r="C288" s="97"/>
      <x:c r="D288" s="96" t="str">
        <x:f>IF(OR(A288="",B288="",E288=""),"","R"&amp;TEXT(A288,"00")&amp;"-"&amp;B288&amp;"-"&amp;LEFT(E288,1)&amp;IF(COUNTIFS($A$2:A288,A288,$B$2:B288,B288,$E$2:E288,E288)&gt;1,"-"&amp;COUNTIFS($A$2:A288,A288,$B$2:B288,B288,$E$2:E288,E288),""))</x:f>
      </x:c>
      <x:c r="E288" s="99"/>
      <x:c r="F288" s="99"/>
      <x:c r="G288" s="99"/>
      <x:c r="H288" s="99"/>
      <x:c r="I288" s="100"/>
      <x:c r="J288" s="99"/>
      <x:c r="K288" s="99"/>
      <x:c r="L288" s="99"/>
      <x:c r="M288" s="99"/>
      <x:c r="N288" s="99"/>
      <x:c r="O288" s="96" t="str">
        <x:f>IF(E288="","",IF(E288="Small",IF(OR(F288="",G288="",H288=""),"",IF(AND(F288="Yes",G288="Small",H288="Skip"),"Yes","No")),IF(OR(E288="Normal",E288="Large"),IF(OR(F288="",G288="",H288="",K288="",L288="",M288="",N288=""),"",IF(AND(F288="Yes",G288=E288,H288="Pick",K288="Yes",L288="No",M288=IF(E288="Normal","Normal_Bin","Large_Bin"),N288="Yes"),"Yes","No")),"")))</x:f>
      </x:c>
      <x:c r="P288" s="99"/>
      <x:c r="Q288" s="101"/>
      <x:c r="R288" s="102"/>
    </x:row>
    <x:row r="289">
      <x:c r="A289" s="97"/>
      <x:c r="B289" s="98"/>
      <x:c r="C289" s="97"/>
      <x:c r="D289" s="96" t="str">
        <x:f>IF(OR(A289="",B289="",E289=""),"","R"&amp;TEXT(A289,"00")&amp;"-"&amp;B289&amp;"-"&amp;LEFT(E289,1)&amp;IF(COUNTIFS($A$2:A289,A289,$B$2:B289,B289,$E$2:E289,E289)&gt;1,"-"&amp;COUNTIFS($A$2:A289,A289,$B$2:B289,B289,$E$2:E289,E289),""))</x:f>
      </x:c>
      <x:c r="E289" s="99"/>
      <x:c r="F289" s="99"/>
      <x:c r="G289" s="99"/>
      <x:c r="H289" s="99"/>
      <x:c r="I289" s="100"/>
      <x:c r="J289" s="99"/>
      <x:c r="K289" s="99"/>
      <x:c r="L289" s="99"/>
      <x:c r="M289" s="99"/>
      <x:c r="N289" s="99"/>
      <x:c r="O289" s="96" t="str">
        <x:f>IF(E289="","",IF(E289="Small",IF(OR(F289="",G289="",H289=""),"",IF(AND(F289="Yes",G289="Small",H289="Skip"),"Yes","No")),IF(OR(E289="Normal",E289="Large"),IF(OR(F289="",G289="",H289="",K289="",L289="",M289="",N289=""),"",IF(AND(F289="Yes",G289=E289,H289="Pick",K289="Yes",L289="No",M289=IF(E289="Normal","Normal_Bin","Large_Bin"),N289="Yes"),"Yes","No")),"")))</x:f>
      </x:c>
      <x:c r="P289" s="99"/>
      <x:c r="Q289" s="101"/>
      <x:c r="R289" s="102"/>
    </x:row>
    <x:row r="290">
      <x:c r="A290" s="97"/>
      <x:c r="B290" s="98"/>
      <x:c r="C290" s="97"/>
      <x:c r="D290" s="96" t="str">
        <x:f>IF(OR(A290="",B290="",E290=""),"","R"&amp;TEXT(A290,"00")&amp;"-"&amp;B290&amp;"-"&amp;LEFT(E290,1)&amp;IF(COUNTIFS($A$2:A290,A290,$B$2:B290,B290,$E$2:E290,E290)&gt;1,"-"&amp;COUNTIFS($A$2:A290,A290,$B$2:B290,B290,$E$2:E290,E290),""))</x:f>
      </x:c>
      <x:c r="E290" s="99"/>
      <x:c r="F290" s="99"/>
      <x:c r="G290" s="99"/>
      <x:c r="H290" s="99"/>
      <x:c r="I290" s="100"/>
      <x:c r="J290" s="99"/>
      <x:c r="K290" s="99"/>
      <x:c r="L290" s="99"/>
      <x:c r="M290" s="99"/>
      <x:c r="N290" s="99"/>
      <x:c r="O290" s="96" t="str">
        <x:f>IF(E290="","",IF(E290="Small",IF(OR(F290="",G290="",H290=""),"",IF(AND(F290="Yes",G290="Small",H290="Skip"),"Yes","No")),IF(OR(E290="Normal",E290="Large"),IF(OR(F290="",G290="",H290="",K290="",L290="",M290="",N290=""),"",IF(AND(F290="Yes",G290=E290,H290="Pick",K290="Yes",L290="No",M290=IF(E290="Normal","Normal_Bin","Large_Bin"),N290="Yes"),"Yes","No")),"")))</x:f>
      </x:c>
      <x:c r="P290" s="99"/>
      <x:c r="Q290" s="101"/>
      <x:c r="R290" s="102"/>
    </x:row>
    <x:row r="291">
      <x:c r="A291" s="97"/>
      <x:c r="B291" s="98"/>
      <x:c r="C291" s="97"/>
      <x:c r="D291" s="96" t="str">
        <x:f>IF(OR(A291="",B291="",E291=""),"","R"&amp;TEXT(A291,"00")&amp;"-"&amp;B291&amp;"-"&amp;LEFT(E291,1)&amp;IF(COUNTIFS($A$2:A291,A291,$B$2:B291,B291,$E$2:E291,E291)&gt;1,"-"&amp;COUNTIFS($A$2:A291,A291,$B$2:B291,B291,$E$2:E291,E291),""))</x:f>
      </x:c>
      <x:c r="E291" s="99"/>
      <x:c r="F291" s="99"/>
      <x:c r="G291" s="99"/>
      <x:c r="H291" s="99"/>
      <x:c r="I291" s="100"/>
      <x:c r="J291" s="99"/>
      <x:c r="K291" s="99"/>
      <x:c r="L291" s="99"/>
      <x:c r="M291" s="99"/>
      <x:c r="N291" s="99"/>
      <x:c r="O291" s="96" t="str">
        <x:f>IF(E291="","",IF(E291="Small",IF(OR(F291="",G291="",H291=""),"",IF(AND(F291="Yes",G291="Small",H291="Skip"),"Yes","No")),IF(OR(E291="Normal",E291="Large"),IF(OR(F291="",G291="",H291="",K291="",L291="",M291="",N291=""),"",IF(AND(F291="Yes",G291=E291,H291="Pick",K291="Yes",L291="No",M291=IF(E291="Normal","Normal_Bin","Large_Bin"),N291="Yes"),"Yes","No")),"")))</x:f>
      </x:c>
      <x:c r="P291" s="99"/>
      <x:c r="Q291" s="101"/>
      <x:c r="R291" s="102"/>
    </x:row>
    <x:row r="292">
      <x:c r="A292" s="97"/>
      <x:c r="B292" s="98"/>
      <x:c r="C292" s="97"/>
      <x:c r="D292" s="96" t="str">
        <x:f>IF(OR(A292="",B292="",E292=""),"","R"&amp;TEXT(A292,"00")&amp;"-"&amp;B292&amp;"-"&amp;LEFT(E292,1)&amp;IF(COUNTIFS($A$2:A292,A292,$B$2:B292,B292,$E$2:E292,E292)&gt;1,"-"&amp;COUNTIFS($A$2:A292,A292,$B$2:B292,B292,$E$2:E292,E292),""))</x:f>
      </x:c>
      <x:c r="E292" s="99"/>
      <x:c r="F292" s="99"/>
      <x:c r="G292" s="99"/>
      <x:c r="H292" s="99"/>
      <x:c r="I292" s="100"/>
      <x:c r="J292" s="99"/>
      <x:c r="K292" s="99"/>
      <x:c r="L292" s="99"/>
      <x:c r="M292" s="99"/>
      <x:c r="N292" s="99"/>
      <x:c r="O292" s="96" t="str">
        <x:f>IF(E292="","",IF(E292="Small",IF(OR(F292="",G292="",H292=""),"",IF(AND(F292="Yes",G292="Small",H292="Skip"),"Yes","No")),IF(OR(E292="Normal",E292="Large"),IF(OR(F292="",G292="",H292="",K292="",L292="",M292="",N292=""),"",IF(AND(F292="Yes",G292=E292,H292="Pick",K292="Yes",L292="No",M292=IF(E292="Normal","Normal_Bin","Large_Bin"),N292="Yes"),"Yes","No")),"")))</x:f>
      </x:c>
      <x:c r="P292" s="99"/>
      <x:c r="Q292" s="101"/>
      <x:c r="R292" s="102"/>
    </x:row>
    <x:row r="293">
      <x:c r="A293" s="97"/>
      <x:c r="B293" s="98"/>
      <x:c r="C293" s="97"/>
      <x:c r="D293" s="96" t="str">
        <x:f>IF(OR(A293="",B293="",E293=""),"","R"&amp;TEXT(A293,"00")&amp;"-"&amp;B293&amp;"-"&amp;LEFT(E293,1)&amp;IF(COUNTIFS($A$2:A293,A293,$B$2:B293,B293,$E$2:E293,E293)&gt;1,"-"&amp;COUNTIFS($A$2:A293,A293,$B$2:B293,B293,$E$2:E293,E293),""))</x:f>
      </x:c>
      <x:c r="E293" s="99"/>
      <x:c r="F293" s="99"/>
      <x:c r="G293" s="99"/>
      <x:c r="H293" s="99"/>
      <x:c r="I293" s="100"/>
      <x:c r="J293" s="99"/>
      <x:c r="K293" s="99"/>
      <x:c r="L293" s="99"/>
      <x:c r="M293" s="99"/>
      <x:c r="N293" s="99"/>
      <x:c r="O293" s="96" t="str">
        <x:f>IF(E293="","",IF(E293="Small",IF(OR(F293="",G293="",H293=""),"",IF(AND(F293="Yes",G293="Small",H293="Skip"),"Yes","No")),IF(OR(E293="Normal",E293="Large"),IF(OR(F293="",G293="",H293="",K293="",L293="",M293="",N293=""),"",IF(AND(F293="Yes",G293=E293,H293="Pick",K293="Yes",L293="No",M293=IF(E293="Normal","Normal_Bin","Large_Bin"),N293="Yes"),"Yes","No")),"")))</x:f>
      </x:c>
      <x:c r="P293" s="99"/>
      <x:c r="Q293" s="101"/>
      <x:c r="R293" s="102"/>
    </x:row>
    <x:row r="294">
      <x:c r="A294" s="97"/>
      <x:c r="B294" s="98"/>
      <x:c r="C294" s="97"/>
      <x:c r="D294" s="96" t="str">
        <x:f>IF(OR(A294="",B294="",E294=""),"","R"&amp;TEXT(A294,"00")&amp;"-"&amp;B294&amp;"-"&amp;LEFT(E294,1)&amp;IF(COUNTIFS($A$2:A294,A294,$B$2:B294,B294,$E$2:E294,E294)&gt;1,"-"&amp;COUNTIFS($A$2:A294,A294,$B$2:B294,B294,$E$2:E294,E294),""))</x:f>
      </x:c>
      <x:c r="E294" s="99"/>
      <x:c r="F294" s="99"/>
      <x:c r="G294" s="99"/>
      <x:c r="H294" s="99"/>
      <x:c r="I294" s="100"/>
      <x:c r="J294" s="99"/>
      <x:c r="K294" s="99"/>
      <x:c r="L294" s="99"/>
      <x:c r="M294" s="99"/>
      <x:c r="N294" s="99"/>
      <x:c r="O294" s="96" t="str">
        <x:f>IF(E294="","",IF(E294="Small",IF(OR(F294="",G294="",H294=""),"",IF(AND(F294="Yes",G294="Small",H294="Skip"),"Yes","No")),IF(OR(E294="Normal",E294="Large"),IF(OR(F294="",G294="",H294="",K294="",L294="",M294="",N294=""),"",IF(AND(F294="Yes",G294=E294,H294="Pick",K294="Yes",L294="No",M294=IF(E294="Normal","Normal_Bin","Large_Bin"),N294="Yes"),"Yes","No")),"")))</x:f>
      </x:c>
      <x:c r="P294" s="99"/>
      <x:c r="Q294" s="101"/>
      <x:c r="R294" s="102"/>
    </x:row>
    <x:row r="295">
      <x:c r="A295" s="97"/>
      <x:c r="B295" s="98"/>
      <x:c r="C295" s="97"/>
      <x:c r="D295" s="96" t="str">
        <x:f>IF(OR(A295="",B295="",E295=""),"","R"&amp;TEXT(A295,"00")&amp;"-"&amp;B295&amp;"-"&amp;LEFT(E295,1)&amp;IF(COUNTIFS($A$2:A295,A295,$B$2:B295,B295,$E$2:E295,E295)&gt;1,"-"&amp;COUNTIFS($A$2:A295,A295,$B$2:B295,B295,$E$2:E295,E295),""))</x:f>
      </x:c>
      <x:c r="E295" s="99"/>
      <x:c r="F295" s="99"/>
      <x:c r="G295" s="99"/>
      <x:c r="H295" s="99"/>
      <x:c r="I295" s="100"/>
      <x:c r="J295" s="99"/>
      <x:c r="K295" s="99"/>
      <x:c r="L295" s="99"/>
      <x:c r="M295" s="99"/>
      <x:c r="N295" s="99"/>
      <x:c r="O295" s="96" t="str">
        <x:f>IF(E295="","",IF(E295="Small",IF(OR(F295="",G295="",H295=""),"",IF(AND(F295="Yes",G295="Small",H295="Skip"),"Yes","No")),IF(OR(E295="Normal",E295="Large"),IF(OR(F295="",G295="",H295="",K295="",L295="",M295="",N295=""),"",IF(AND(F295="Yes",G295=E295,H295="Pick",K295="Yes",L295="No",M295=IF(E295="Normal","Normal_Bin","Large_Bin"),N295="Yes"),"Yes","No")),"")))</x:f>
      </x:c>
      <x:c r="P295" s="99"/>
      <x:c r="Q295" s="101"/>
      <x:c r="R295" s="102"/>
    </x:row>
    <x:row r="296">
      <x:c r="A296" s="97"/>
      <x:c r="B296" s="98"/>
      <x:c r="C296" s="97"/>
      <x:c r="D296" s="96" t="str">
        <x:f>IF(OR(A296="",B296="",E296=""),"","R"&amp;TEXT(A296,"00")&amp;"-"&amp;B296&amp;"-"&amp;LEFT(E296,1)&amp;IF(COUNTIFS($A$2:A296,A296,$B$2:B296,B296,$E$2:E296,E296)&gt;1,"-"&amp;COUNTIFS($A$2:A296,A296,$B$2:B296,B296,$E$2:E296,E296),""))</x:f>
      </x:c>
      <x:c r="E296" s="99"/>
      <x:c r="F296" s="99"/>
      <x:c r="G296" s="99"/>
      <x:c r="H296" s="99"/>
      <x:c r="I296" s="100"/>
      <x:c r="J296" s="99"/>
      <x:c r="K296" s="99"/>
      <x:c r="L296" s="99"/>
      <x:c r="M296" s="99"/>
      <x:c r="N296" s="99"/>
      <x:c r="O296" s="96" t="str">
        <x:f>IF(E296="","",IF(E296="Small",IF(OR(F296="",G296="",H296=""),"",IF(AND(F296="Yes",G296="Small",H296="Skip"),"Yes","No")),IF(OR(E296="Normal",E296="Large"),IF(OR(F296="",G296="",H296="",K296="",L296="",M296="",N296=""),"",IF(AND(F296="Yes",G296=E296,H296="Pick",K296="Yes",L296="No",M296=IF(E296="Normal","Normal_Bin","Large_Bin"),N296="Yes"),"Yes","No")),"")))</x:f>
      </x:c>
      <x:c r="P296" s="99"/>
      <x:c r="Q296" s="101"/>
      <x:c r="R296" s="102"/>
    </x:row>
    <x:row r="297">
      <x:c r="A297" s="97"/>
      <x:c r="B297" s="98"/>
      <x:c r="C297" s="97"/>
      <x:c r="D297" s="96" t="str">
        <x:f>IF(OR(A297="",B297="",E297=""),"","R"&amp;TEXT(A297,"00")&amp;"-"&amp;B297&amp;"-"&amp;LEFT(E297,1)&amp;IF(COUNTIFS($A$2:A297,A297,$B$2:B297,B297,$E$2:E297,E297)&gt;1,"-"&amp;COUNTIFS($A$2:A297,A297,$B$2:B297,B297,$E$2:E297,E297),""))</x:f>
      </x:c>
      <x:c r="E297" s="99"/>
      <x:c r="F297" s="99"/>
      <x:c r="G297" s="99"/>
      <x:c r="H297" s="99"/>
      <x:c r="I297" s="100"/>
      <x:c r="J297" s="99"/>
      <x:c r="K297" s="99"/>
      <x:c r="L297" s="99"/>
      <x:c r="M297" s="99"/>
      <x:c r="N297" s="99"/>
      <x:c r="O297" s="96" t="str">
        <x:f>IF(E297="","",IF(E297="Small",IF(OR(F297="",G297="",H297=""),"",IF(AND(F297="Yes",G297="Small",H297="Skip"),"Yes","No")),IF(OR(E297="Normal",E297="Large"),IF(OR(F297="",G297="",H297="",K297="",L297="",M297="",N297=""),"",IF(AND(F297="Yes",G297=E297,H297="Pick",K297="Yes",L297="No",M297=IF(E297="Normal","Normal_Bin","Large_Bin"),N297="Yes"),"Yes","No")),"")))</x:f>
      </x:c>
      <x:c r="P297" s="99"/>
      <x:c r="Q297" s="101"/>
      <x:c r="R297" s="102"/>
    </x:row>
    <x:row r="298">
      <x:c r="A298" s="97"/>
      <x:c r="B298" s="98"/>
      <x:c r="C298" s="97"/>
      <x:c r="D298" s="96" t="str">
        <x:f>IF(OR(A298="",B298="",E298=""),"","R"&amp;TEXT(A298,"00")&amp;"-"&amp;B298&amp;"-"&amp;LEFT(E298,1)&amp;IF(COUNTIFS($A$2:A298,A298,$B$2:B298,B298,$E$2:E298,E298)&gt;1,"-"&amp;COUNTIFS($A$2:A298,A298,$B$2:B298,B298,$E$2:E298,E298),""))</x:f>
      </x:c>
      <x:c r="E298" s="99"/>
      <x:c r="F298" s="99"/>
      <x:c r="G298" s="99"/>
      <x:c r="H298" s="99"/>
      <x:c r="I298" s="100"/>
      <x:c r="J298" s="99"/>
      <x:c r="K298" s="99"/>
      <x:c r="L298" s="99"/>
      <x:c r="M298" s="99"/>
      <x:c r="N298" s="99"/>
      <x:c r="O298" s="96" t="str">
        <x:f>IF(E298="","",IF(E298="Small",IF(OR(F298="",G298="",H298=""),"",IF(AND(F298="Yes",G298="Small",H298="Skip"),"Yes","No")),IF(OR(E298="Normal",E298="Large"),IF(OR(F298="",G298="",H298="",K298="",L298="",M298="",N298=""),"",IF(AND(F298="Yes",G298=E298,H298="Pick",K298="Yes",L298="No",M298=IF(E298="Normal","Normal_Bin","Large_Bin"),N298="Yes"),"Yes","No")),"")))</x:f>
      </x:c>
      <x:c r="P298" s="99"/>
      <x:c r="Q298" s="101"/>
      <x:c r="R298" s="102"/>
    </x:row>
    <x:row r="299">
      <x:c r="A299" s="97"/>
      <x:c r="B299" s="98"/>
      <x:c r="C299" s="97"/>
      <x:c r="D299" s="96" t="str">
        <x:f>IF(OR(A299="",B299="",E299=""),"","R"&amp;TEXT(A299,"00")&amp;"-"&amp;B299&amp;"-"&amp;LEFT(E299,1)&amp;IF(COUNTIFS($A$2:A299,A299,$B$2:B299,B299,$E$2:E299,E299)&gt;1,"-"&amp;COUNTIFS($A$2:A299,A299,$B$2:B299,B299,$E$2:E299,E299),""))</x:f>
      </x:c>
      <x:c r="E299" s="99"/>
      <x:c r="F299" s="99"/>
      <x:c r="G299" s="99"/>
      <x:c r="H299" s="99"/>
      <x:c r="I299" s="100"/>
      <x:c r="J299" s="99"/>
      <x:c r="K299" s="99"/>
      <x:c r="L299" s="99"/>
      <x:c r="M299" s="99"/>
      <x:c r="N299" s="99"/>
      <x:c r="O299" s="96" t="str">
        <x:f>IF(E299="","",IF(E299="Small",IF(OR(F299="",G299="",H299=""),"",IF(AND(F299="Yes",G299="Small",H299="Skip"),"Yes","No")),IF(OR(E299="Normal",E299="Large"),IF(OR(F299="",G299="",H299="",K299="",L299="",M299="",N299=""),"",IF(AND(F299="Yes",G299=E299,H299="Pick",K299="Yes",L299="No",M299=IF(E299="Normal","Normal_Bin","Large_Bin"),N299="Yes"),"Yes","No")),"")))</x:f>
      </x:c>
      <x:c r="P299" s="99"/>
      <x:c r="Q299" s="101"/>
      <x:c r="R299" s="102"/>
    </x:row>
    <x:row r="300">
      <x:c r="A300" s="97"/>
      <x:c r="B300" s="98"/>
      <x:c r="C300" s="97"/>
      <x:c r="D300" s="96" t="str">
        <x:f>IF(OR(A300="",B300="",E300=""),"","R"&amp;TEXT(A300,"00")&amp;"-"&amp;B300&amp;"-"&amp;LEFT(E300,1)&amp;IF(COUNTIFS($A$2:A300,A300,$B$2:B300,B300,$E$2:E300,E300)&gt;1,"-"&amp;COUNTIFS($A$2:A300,A300,$B$2:B300,B300,$E$2:E300,E300),""))</x:f>
      </x:c>
      <x:c r="E300" s="99"/>
      <x:c r="F300" s="99"/>
      <x:c r="G300" s="99"/>
      <x:c r="H300" s="99"/>
      <x:c r="I300" s="100"/>
      <x:c r="J300" s="99"/>
      <x:c r="K300" s="99"/>
      <x:c r="L300" s="99"/>
      <x:c r="M300" s="99"/>
      <x:c r="N300" s="99"/>
      <x:c r="O300" s="96" t="str">
        <x:f>IF(E300="","",IF(E300="Small",IF(OR(F300="",G300="",H300=""),"",IF(AND(F300="Yes",G300="Small",H300="Skip"),"Yes","No")),IF(OR(E300="Normal",E300="Large"),IF(OR(F300="",G300="",H300="",K300="",L300="",M300="",N300=""),"",IF(AND(F300="Yes",G300=E300,H300="Pick",K300="Yes",L300="No",M300=IF(E300="Normal","Normal_Bin","Large_Bin"),N300="Yes"),"Yes","No")),"")))</x:f>
      </x:c>
      <x:c r="P300" s="99"/>
      <x:c r="Q300" s="101"/>
      <x:c r="R300" s="102"/>
    </x:row>
    <x:row r="301">
      <x:c r="A301" s="97"/>
      <x:c r="B301" s="98"/>
      <x:c r="C301" s="97"/>
      <x:c r="D301" s="96" t="str">
        <x:f>IF(OR(A301="",B301="",E301=""),"","R"&amp;TEXT(A301,"00")&amp;"-"&amp;B301&amp;"-"&amp;LEFT(E301,1)&amp;IF(COUNTIFS($A$2:A301,A301,$B$2:B301,B301,$E$2:E301,E301)&gt;1,"-"&amp;COUNTIFS($A$2:A301,A301,$B$2:B301,B301,$E$2:E301,E301),""))</x:f>
      </x:c>
      <x:c r="E301" s="99"/>
      <x:c r="F301" s="99"/>
      <x:c r="G301" s="99"/>
      <x:c r="H301" s="99"/>
      <x:c r="I301" s="100"/>
      <x:c r="J301" s="99"/>
      <x:c r="K301" s="99"/>
      <x:c r="L301" s="99"/>
      <x:c r="M301" s="99"/>
      <x:c r="N301" s="99"/>
      <x:c r="O301" s="96" t="str">
        <x:f>IF(E301="","",IF(E301="Small",IF(OR(F301="",G301="",H301=""),"",IF(AND(F301="Yes",G301="Small",H301="Skip"),"Yes","No")),IF(OR(E301="Normal",E301="Large"),IF(OR(F301="",G301="",H301="",K301="",L301="",M301="",N301=""),"",IF(AND(F301="Yes",G301=E301,H301="Pick",K301="Yes",L301="No",M301=IF(E301="Normal","Normal_Bin","Large_Bin"),N301="Yes"),"Yes","No")),"")))</x:f>
      </x:c>
      <x:c r="P301" s="99"/>
      <x:c r="Q301" s="101"/>
      <x:c r="R301" s="102"/>
    </x:row>
    <x:row r="302">
      <x:c r="A302" s="97"/>
      <x:c r="B302" s="98"/>
      <x:c r="C302" s="97"/>
      <x:c r="D302" s="96" t="str">
        <x:f>IF(OR(A302="",B302="",E302=""),"","R"&amp;TEXT(A302,"00")&amp;"-"&amp;B302&amp;"-"&amp;LEFT(E302,1)&amp;IF(COUNTIFS($A$2:A302,A302,$B$2:B302,B302,$E$2:E302,E302)&gt;1,"-"&amp;COUNTIFS($A$2:A302,A302,$B$2:B302,B302,$E$2:E302,E302),""))</x:f>
      </x:c>
      <x:c r="E302" s="99"/>
      <x:c r="F302" s="99"/>
      <x:c r="G302" s="99"/>
      <x:c r="H302" s="99"/>
      <x:c r="I302" s="100"/>
      <x:c r="J302" s="99"/>
      <x:c r="K302" s="99"/>
      <x:c r="L302" s="99"/>
      <x:c r="M302" s="99"/>
      <x:c r="N302" s="99"/>
      <x:c r="O302" s="96" t="str">
        <x:f>IF(E302="","",IF(E302="Small",IF(OR(F302="",G302="",H302=""),"",IF(AND(F302="Yes",G302="Small",H302="Skip"),"Yes","No")),IF(OR(E302="Normal",E302="Large"),IF(OR(F302="",G302="",H302="",K302="",L302="",M302="",N302=""),"",IF(AND(F302="Yes",G302=E302,H302="Pick",K302="Yes",L302="No",M302=IF(E302="Normal","Normal_Bin","Large_Bin"),N302="Yes"),"Yes","No")),"")))</x:f>
      </x:c>
      <x:c r="P302" s="99"/>
      <x:c r="Q302" s="101"/>
      <x:c r="R302" s="102"/>
    </x:row>
    <x:row r="303">
      <x:c r="A303" s="97"/>
      <x:c r="B303" s="98"/>
      <x:c r="C303" s="97"/>
      <x:c r="D303" s="96" t="str">
        <x:f>IF(OR(A303="",B303="",E303=""),"","R"&amp;TEXT(A303,"00")&amp;"-"&amp;B303&amp;"-"&amp;LEFT(E303,1)&amp;IF(COUNTIFS($A$2:A303,A303,$B$2:B303,B303,$E$2:E303,E303)&gt;1,"-"&amp;COUNTIFS($A$2:A303,A303,$B$2:B303,B303,$E$2:E303,E303),""))</x:f>
      </x:c>
      <x:c r="E303" s="99"/>
      <x:c r="F303" s="99"/>
      <x:c r="G303" s="99"/>
      <x:c r="H303" s="99"/>
      <x:c r="I303" s="100"/>
      <x:c r="J303" s="99"/>
      <x:c r="K303" s="99"/>
      <x:c r="L303" s="99"/>
      <x:c r="M303" s="99"/>
      <x:c r="N303" s="99"/>
      <x:c r="O303" s="96" t="str">
        <x:f>IF(E303="","",IF(E303="Small",IF(OR(F303="",G303="",H303=""),"",IF(AND(F303="Yes",G303="Small",H303="Skip"),"Yes","No")),IF(OR(E303="Normal",E303="Large"),IF(OR(F303="",G303="",H303="",K303="",L303="",M303="",N303=""),"",IF(AND(F303="Yes",G303=E303,H303="Pick",K303="Yes",L303="No",M303=IF(E303="Normal","Normal_Bin","Large_Bin"),N303="Yes"),"Yes","No")),"")))</x:f>
      </x:c>
      <x:c r="P303" s="99"/>
      <x:c r="Q303" s="101"/>
      <x:c r="R303" s="102"/>
    </x:row>
    <x:row r="304">
      <x:c r="A304" s="97"/>
      <x:c r="B304" s="98"/>
      <x:c r="C304" s="97"/>
      <x:c r="D304" s="96" t="str">
        <x:f>IF(OR(A304="",B304="",E304=""),"","R"&amp;TEXT(A304,"00")&amp;"-"&amp;B304&amp;"-"&amp;LEFT(E304,1)&amp;IF(COUNTIFS($A$2:A304,A304,$B$2:B304,B304,$E$2:E304,E304)&gt;1,"-"&amp;COUNTIFS($A$2:A304,A304,$B$2:B304,B304,$E$2:E304,E304),""))</x:f>
      </x:c>
      <x:c r="E304" s="99"/>
      <x:c r="F304" s="99"/>
      <x:c r="G304" s="99"/>
      <x:c r="H304" s="99"/>
      <x:c r="I304" s="100"/>
      <x:c r="J304" s="99"/>
      <x:c r="K304" s="99"/>
      <x:c r="L304" s="99"/>
      <x:c r="M304" s="99"/>
      <x:c r="N304" s="99"/>
      <x:c r="O304" s="96" t="str">
        <x:f>IF(E304="","",IF(E304="Small",IF(OR(F304="",G304="",H304=""),"",IF(AND(F304="Yes",G304="Small",H304="Skip"),"Yes","No")),IF(OR(E304="Normal",E304="Large"),IF(OR(F304="",G304="",H304="",K304="",L304="",M304="",N304=""),"",IF(AND(F304="Yes",G304=E304,H304="Pick",K304="Yes",L304="No",M304=IF(E304="Normal","Normal_Bin","Large_Bin"),N304="Yes"),"Yes","No")),"")))</x:f>
      </x:c>
      <x:c r="P304" s="99"/>
      <x:c r="Q304" s="101"/>
      <x:c r="R304" s="102"/>
    </x:row>
    <x:row r="305">
      <x:c r="A305" s="97"/>
      <x:c r="B305" s="98"/>
      <x:c r="C305" s="97"/>
      <x:c r="D305" s="96" t="str">
        <x:f>IF(OR(A305="",B305="",E305=""),"","R"&amp;TEXT(A305,"00")&amp;"-"&amp;B305&amp;"-"&amp;LEFT(E305,1)&amp;IF(COUNTIFS($A$2:A305,A305,$B$2:B305,B305,$E$2:E305,E305)&gt;1,"-"&amp;COUNTIFS($A$2:A305,A305,$B$2:B305,B305,$E$2:E305,E305),""))</x:f>
      </x:c>
      <x:c r="E305" s="99"/>
      <x:c r="F305" s="99"/>
      <x:c r="G305" s="99"/>
      <x:c r="H305" s="99"/>
      <x:c r="I305" s="100"/>
      <x:c r="J305" s="99"/>
      <x:c r="K305" s="99"/>
      <x:c r="L305" s="99"/>
      <x:c r="M305" s="99"/>
      <x:c r="N305" s="99"/>
      <x:c r="O305" s="96" t="str">
        <x:f>IF(E305="","",IF(E305="Small",IF(OR(F305="",G305="",H305=""),"",IF(AND(F305="Yes",G305="Small",H305="Skip"),"Yes","No")),IF(OR(E305="Normal",E305="Large"),IF(OR(F305="",G305="",H305="",K305="",L305="",M305="",N305=""),"",IF(AND(F305="Yes",G305=E305,H305="Pick",K305="Yes",L305="No",M305=IF(E305="Normal","Normal_Bin","Large_Bin"),N305="Yes"),"Yes","No")),"")))</x:f>
      </x:c>
      <x:c r="P305" s="99"/>
      <x:c r="Q305" s="101"/>
      <x:c r="R305" s="102"/>
    </x:row>
    <x:row r="306">
      <x:c r="A306" s="97"/>
      <x:c r="B306" s="98"/>
      <x:c r="C306" s="97"/>
      <x:c r="D306" s="96" t="str">
        <x:f>IF(OR(A306="",B306="",E306=""),"","R"&amp;TEXT(A306,"00")&amp;"-"&amp;B306&amp;"-"&amp;LEFT(E306,1)&amp;IF(COUNTIFS($A$2:A306,A306,$B$2:B306,B306,$E$2:E306,E306)&gt;1,"-"&amp;COUNTIFS($A$2:A306,A306,$B$2:B306,B306,$E$2:E306,E306),""))</x:f>
      </x:c>
      <x:c r="E306" s="99"/>
      <x:c r="F306" s="99"/>
      <x:c r="G306" s="99"/>
      <x:c r="H306" s="99"/>
      <x:c r="I306" s="100"/>
      <x:c r="J306" s="99"/>
      <x:c r="K306" s="99"/>
      <x:c r="L306" s="99"/>
      <x:c r="M306" s="99"/>
      <x:c r="N306" s="99"/>
      <x:c r="O306" s="96" t="str">
        <x:f>IF(E306="","",IF(E306="Small",IF(OR(F306="",G306="",H306=""),"",IF(AND(F306="Yes",G306="Small",H306="Skip"),"Yes","No")),IF(OR(E306="Normal",E306="Large"),IF(OR(F306="",G306="",H306="",K306="",L306="",M306="",N306=""),"",IF(AND(F306="Yes",G306=E306,H306="Pick",K306="Yes",L306="No",M306=IF(E306="Normal","Normal_Bin","Large_Bin"),N306="Yes"),"Yes","No")),"")))</x:f>
      </x:c>
      <x:c r="P306" s="99"/>
      <x:c r="Q306" s="101"/>
      <x:c r="R306" s="102"/>
    </x:row>
    <x:row r="307">
      <x:c r="A307" s="97"/>
      <x:c r="B307" s="98"/>
      <x:c r="C307" s="97"/>
      <x:c r="D307" s="96" t="str">
        <x:f>IF(OR(A307="",B307="",E307=""),"","R"&amp;TEXT(A307,"00")&amp;"-"&amp;B307&amp;"-"&amp;LEFT(E307,1)&amp;IF(COUNTIFS($A$2:A307,A307,$B$2:B307,B307,$E$2:E307,E307)&gt;1,"-"&amp;COUNTIFS($A$2:A307,A307,$B$2:B307,B307,$E$2:E307,E307),""))</x:f>
      </x:c>
      <x:c r="E307" s="99"/>
      <x:c r="F307" s="99"/>
      <x:c r="G307" s="99"/>
      <x:c r="H307" s="99"/>
      <x:c r="I307" s="100"/>
      <x:c r="J307" s="99"/>
      <x:c r="K307" s="99"/>
      <x:c r="L307" s="99"/>
      <x:c r="M307" s="99"/>
      <x:c r="N307" s="99"/>
      <x:c r="O307" s="96" t="str">
        <x:f>IF(E307="","",IF(E307="Small",IF(OR(F307="",G307="",H307=""),"",IF(AND(F307="Yes",G307="Small",H307="Skip"),"Yes","No")),IF(OR(E307="Normal",E307="Large"),IF(OR(F307="",G307="",H307="",K307="",L307="",M307="",N307=""),"",IF(AND(F307="Yes",G307=E307,H307="Pick",K307="Yes",L307="No",M307=IF(E307="Normal","Normal_Bin","Large_Bin"),N307="Yes"),"Yes","No")),"")))</x:f>
      </x:c>
      <x:c r="P307" s="99"/>
      <x:c r="Q307" s="101"/>
      <x:c r="R307" s="102"/>
    </x:row>
    <x:row r="308">
      <x:c r="A308" s="97"/>
      <x:c r="B308" s="98"/>
      <x:c r="C308" s="97"/>
      <x:c r="D308" s="96" t="str">
        <x:f>IF(OR(A308="",B308="",E308=""),"","R"&amp;TEXT(A308,"00")&amp;"-"&amp;B308&amp;"-"&amp;LEFT(E308,1)&amp;IF(COUNTIFS($A$2:A308,A308,$B$2:B308,B308,$E$2:E308,E308)&gt;1,"-"&amp;COUNTIFS($A$2:A308,A308,$B$2:B308,B308,$E$2:E308,E308),""))</x:f>
      </x:c>
      <x:c r="E308" s="99"/>
      <x:c r="F308" s="99"/>
      <x:c r="G308" s="99"/>
      <x:c r="H308" s="99"/>
      <x:c r="I308" s="100"/>
      <x:c r="J308" s="99"/>
      <x:c r="K308" s="99"/>
      <x:c r="L308" s="99"/>
      <x:c r="M308" s="99"/>
      <x:c r="N308" s="99"/>
      <x:c r="O308" s="96" t="str">
        <x:f>IF(E308="","",IF(E308="Small",IF(OR(F308="",G308="",H308=""),"",IF(AND(F308="Yes",G308="Small",H308="Skip"),"Yes","No")),IF(OR(E308="Normal",E308="Large"),IF(OR(F308="",G308="",H308="",K308="",L308="",M308="",N308=""),"",IF(AND(F308="Yes",G308=E308,H308="Pick",K308="Yes",L308="No",M308=IF(E308="Normal","Normal_Bin","Large_Bin"),N308="Yes"),"Yes","No")),"")))</x:f>
      </x:c>
      <x:c r="P308" s="99"/>
      <x:c r="Q308" s="101"/>
      <x:c r="R308" s="102"/>
    </x:row>
    <x:row r="309">
      <x:c r="A309" s="97"/>
      <x:c r="B309" s="98"/>
      <x:c r="C309" s="97"/>
      <x:c r="D309" s="96" t="str">
        <x:f>IF(OR(A309="",B309="",E309=""),"","R"&amp;TEXT(A309,"00")&amp;"-"&amp;B309&amp;"-"&amp;LEFT(E309,1)&amp;IF(COUNTIFS($A$2:A309,A309,$B$2:B309,B309,$E$2:E309,E309)&gt;1,"-"&amp;COUNTIFS($A$2:A309,A309,$B$2:B309,B309,$E$2:E309,E309),""))</x:f>
      </x:c>
      <x:c r="E309" s="99"/>
      <x:c r="F309" s="99"/>
      <x:c r="G309" s="99"/>
      <x:c r="H309" s="99"/>
      <x:c r="I309" s="100"/>
      <x:c r="J309" s="99"/>
      <x:c r="K309" s="99"/>
      <x:c r="L309" s="99"/>
      <x:c r="M309" s="99"/>
      <x:c r="N309" s="99"/>
      <x:c r="O309" s="96" t="str">
        <x:f>IF(E309="","",IF(E309="Small",IF(OR(F309="",G309="",H309=""),"",IF(AND(F309="Yes",G309="Small",H309="Skip"),"Yes","No")),IF(OR(E309="Normal",E309="Large"),IF(OR(F309="",G309="",H309="",K309="",L309="",M309="",N309=""),"",IF(AND(F309="Yes",G309=E309,H309="Pick",K309="Yes",L309="No",M309=IF(E309="Normal","Normal_Bin","Large_Bin"),N309="Yes"),"Yes","No")),"")))</x:f>
      </x:c>
      <x:c r="P309" s="99"/>
      <x:c r="Q309" s="101"/>
      <x:c r="R309" s="102"/>
    </x:row>
    <x:row r="310">
      <x:c r="A310" s="97"/>
      <x:c r="B310" s="98"/>
      <x:c r="C310" s="97"/>
      <x:c r="D310" s="96" t="str">
        <x:f>IF(OR(A310="",B310="",E310=""),"","R"&amp;TEXT(A310,"00")&amp;"-"&amp;B310&amp;"-"&amp;LEFT(E310,1)&amp;IF(COUNTIFS($A$2:A310,A310,$B$2:B310,B310,$E$2:E310,E310)&gt;1,"-"&amp;COUNTIFS($A$2:A310,A310,$B$2:B310,B310,$E$2:E310,E310),""))</x:f>
      </x:c>
      <x:c r="E310" s="99"/>
      <x:c r="F310" s="99"/>
      <x:c r="G310" s="99"/>
      <x:c r="H310" s="99"/>
      <x:c r="I310" s="100"/>
      <x:c r="J310" s="99"/>
      <x:c r="K310" s="99"/>
      <x:c r="L310" s="99"/>
      <x:c r="M310" s="99"/>
      <x:c r="N310" s="99"/>
      <x:c r="O310" s="96" t="str">
        <x:f>IF(E310="","",IF(E310="Small",IF(OR(F310="",G310="",H310=""),"",IF(AND(F310="Yes",G310="Small",H310="Skip"),"Yes","No")),IF(OR(E310="Normal",E310="Large"),IF(OR(F310="",G310="",H310="",K310="",L310="",M310="",N310=""),"",IF(AND(F310="Yes",G310=E310,H310="Pick",K310="Yes",L310="No",M310=IF(E310="Normal","Normal_Bin","Large_Bin"),N310="Yes"),"Yes","No")),"")))</x:f>
      </x:c>
      <x:c r="P310" s="99"/>
      <x:c r="Q310" s="101"/>
      <x:c r="R310" s="102"/>
    </x:row>
    <x:row r="311">
      <x:c r="A311" s="97"/>
      <x:c r="B311" s="98"/>
      <x:c r="C311" s="97"/>
      <x:c r="D311" s="96" t="str">
        <x:f>IF(OR(A311="",B311="",E311=""),"","R"&amp;TEXT(A311,"00")&amp;"-"&amp;B311&amp;"-"&amp;LEFT(E311,1)&amp;IF(COUNTIFS($A$2:A311,A311,$B$2:B311,B311,$E$2:E311,E311)&gt;1,"-"&amp;COUNTIFS($A$2:A311,A311,$B$2:B311,B311,$E$2:E311,E311),""))</x:f>
      </x:c>
      <x:c r="E311" s="99"/>
      <x:c r="F311" s="99"/>
      <x:c r="G311" s="99"/>
      <x:c r="H311" s="99"/>
      <x:c r="I311" s="100"/>
      <x:c r="J311" s="99"/>
      <x:c r="K311" s="99"/>
      <x:c r="L311" s="99"/>
      <x:c r="M311" s="99"/>
      <x:c r="N311" s="99"/>
      <x:c r="O311" s="96" t="str">
        <x:f>IF(E311="","",IF(E311="Small",IF(OR(F311="",G311="",H311=""),"",IF(AND(F311="Yes",G311="Small",H311="Skip"),"Yes","No")),IF(OR(E311="Normal",E311="Large"),IF(OR(F311="",G311="",H311="",K311="",L311="",M311="",N311=""),"",IF(AND(F311="Yes",G311=E311,H311="Pick",K311="Yes",L311="No",M311=IF(E311="Normal","Normal_Bin","Large_Bin"),N311="Yes"),"Yes","No")),"")))</x:f>
      </x:c>
      <x:c r="P311" s="99"/>
      <x:c r="Q311" s="101"/>
      <x:c r="R311" s="102"/>
    </x:row>
    <x:row r="312">
      <x:c r="A312" s="97"/>
      <x:c r="B312" s="98"/>
      <x:c r="C312" s="97"/>
      <x:c r="D312" s="96" t="str">
        <x:f>IF(OR(A312="",B312="",E312=""),"","R"&amp;TEXT(A312,"00")&amp;"-"&amp;B312&amp;"-"&amp;LEFT(E312,1)&amp;IF(COUNTIFS($A$2:A312,A312,$B$2:B312,B312,$E$2:E312,E312)&gt;1,"-"&amp;COUNTIFS($A$2:A312,A312,$B$2:B312,B312,$E$2:E312,E312),""))</x:f>
      </x:c>
      <x:c r="E312" s="99"/>
      <x:c r="F312" s="99"/>
      <x:c r="G312" s="99"/>
      <x:c r="H312" s="99"/>
      <x:c r="I312" s="100"/>
      <x:c r="J312" s="99"/>
      <x:c r="K312" s="99"/>
      <x:c r="L312" s="99"/>
      <x:c r="M312" s="99"/>
      <x:c r="N312" s="99"/>
      <x:c r="O312" s="96" t="str">
        <x:f>IF(E312="","",IF(E312="Small",IF(OR(F312="",G312="",H312=""),"",IF(AND(F312="Yes",G312="Small",H312="Skip"),"Yes","No")),IF(OR(E312="Normal",E312="Large"),IF(OR(F312="",G312="",H312="",K312="",L312="",M312="",N312=""),"",IF(AND(F312="Yes",G312=E312,H312="Pick",K312="Yes",L312="No",M312=IF(E312="Normal","Normal_Bin","Large_Bin"),N312="Yes"),"Yes","No")),"")))</x:f>
      </x:c>
      <x:c r="P312" s="99"/>
      <x:c r="Q312" s="101"/>
      <x:c r="R312" s="102"/>
    </x:row>
    <x:row r="313">
      <x:c r="A313" s="97"/>
      <x:c r="B313" s="98"/>
      <x:c r="C313" s="97"/>
      <x:c r="D313" s="96" t="str">
        <x:f>IF(OR(A313="",B313="",E313=""),"","R"&amp;TEXT(A313,"00")&amp;"-"&amp;B313&amp;"-"&amp;LEFT(E313,1)&amp;IF(COUNTIFS($A$2:A313,A313,$B$2:B313,B313,$E$2:E313,E313)&gt;1,"-"&amp;COUNTIFS($A$2:A313,A313,$B$2:B313,B313,$E$2:E313,E313),""))</x:f>
      </x:c>
      <x:c r="E313" s="99"/>
      <x:c r="F313" s="99"/>
      <x:c r="G313" s="99"/>
      <x:c r="H313" s="99"/>
      <x:c r="I313" s="100"/>
      <x:c r="J313" s="99"/>
      <x:c r="K313" s="99"/>
      <x:c r="L313" s="99"/>
      <x:c r="M313" s="99"/>
      <x:c r="N313" s="99"/>
      <x:c r="O313" s="96" t="str">
        <x:f>IF(E313="","",IF(E313="Small",IF(OR(F313="",G313="",H313=""),"",IF(AND(F313="Yes",G313="Small",H313="Skip"),"Yes","No")),IF(OR(E313="Normal",E313="Large"),IF(OR(F313="",G313="",H313="",K313="",L313="",M313="",N313=""),"",IF(AND(F313="Yes",G313=E313,H313="Pick",K313="Yes",L313="No",M313=IF(E313="Normal","Normal_Bin","Large_Bin"),N313="Yes"),"Yes","No")),"")))</x:f>
      </x:c>
      <x:c r="P313" s="99"/>
      <x:c r="Q313" s="101"/>
      <x:c r="R313" s="102"/>
    </x:row>
    <x:row r="314">
      <x:c r="A314" s="97"/>
      <x:c r="B314" s="98"/>
      <x:c r="C314" s="97"/>
      <x:c r="D314" s="96" t="str">
        <x:f>IF(OR(A314="",B314="",E314=""),"","R"&amp;TEXT(A314,"00")&amp;"-"&amp;B314&amp;"-"&amp;LEFT(E314,1)&amp;IF(COUNTIFS($A$2:A314,A314,$B$2:B314,B314,$E$2:E314,E314)&gt;1,"-"&amp;COUNTIFS($A$2:A314,A314,$B$2:B314,B314,$E$2:E314,E314),""))</x:f>
      </x:c>
      <x:c r="E314" s="99"/>
      <x:c r="F314" s="99"/>
      <x:c r="G314" s="99"/>
      <x:c r="H314" s="99"/>
      <x:c r="I314" s="100"/>
      <x:c r="J314" s="99"/>
      <x:c r="K314" s="99"/>
      <x:c r="L314" s="99"/>
      <x:c r="M314" s="99"/>
      <x:c r="N314" s="99"/>
      <x:c r="O314" s="96" t="str">
        <x:f>IF(E314="","",IF(E314="Small",IF(OR(F314="",G314="",H314=""),"",IF(AND(F314="Yes",G314="Small",H314="Skip"),"Yes","No")),IF(OR(E314="Normal",E314="Large"),IF(OR(F314="",G314="",H314="",K314="",L314="",M314="",N314=""),"",IF(AND(F314="Yes",G314=E314,H314="Pick",K314="Yes",L314="No",M314=IF(E314="Normal","Normal_Bin","Large_Bin"),N314="Yes"),"Yes","No")),"")))</x:f>
      </x:c>
      <x:c r="P314" s="99"/>
      <x:c r="Q314" s="101"/>
      <x:c r="R314" s="102"/>
    </x:row>
    <x:row r="315">
      <x:c r="A315" s="97"/>
      <x:c r="B315" s="98"/>
      <x:c r="C315" s="97"/>
      <x:c r="D315" s="96" t="str">
        <x:f>IF(OR(A315="",B315="",E315=""),"","R"&amp;TEXT(A315,"00")&amp;"-"&amp;B315&amp;"-"&amp;LEFT(E315,1)&amp;IF(COUNTIFS($A$2:A315,A315,$B$2:B315,B315,$E$2:E315,E315)&gt;1,"-"&amp;COUNTIFS($A$2:A315,A315,$B$2:B315,B315,$E$2:E315,E315),""))</x:f>
      </x:c>
      <x:c r="E315" s="99"/>
      <x:c r="F315" s="99"/>
      <x:c r="G315" s="99"/>
      <x:c r="H315" s="99"/>
      <x:c r="I315" s="100"/>
      <x:c r="J315" s="99"/>
      <x:c r="K315" s="99"/>
      <x:c r="L315" s="99"/>
      <x:c r="M315" s="99"/>
      <x:c r="N315" s="99"/>
      <x:c r="O315" s="96" t="str">
        <x:f>IF(E315="","",IF(E315="Small",IF(OR(F315="",G315="",H315=""),"",IF(AND(F315="Yes",G315="Small",H315="Skip"),"Yes","No")),IF(OR(E315="Normal",E315="Large"),IF(OR(F315="",G315="",H315="",K315="",L315="",M315="",N315=""),"",IF(AND(F315="Yes",G315=E315,H315="Pick",K315="Yes",L315="No",M315=IF(E315="Normal","Normal_Bin","Large_Bin"),N315="Yes"),"Yes","No")),"")))</x:f>
      </x:c>
      <x:c r="P315" s="99"/>
      <x:c r="Q315" s="101"/>
      <x:c r="R315" s="102"/>
    </x:row>
    <x:row r="316">
      <x:c r="A316" s="97"/>
      <x:c r="B316" s="98"/>
      <x:c r="C316" s="97"/>
      <x:c r="D316" s="96" t="str">
        <x:f>IF(OR(A316="",B316="",E316=""),"","R"&amp;TEXT(A316,"00")&amp;"-"&amp;B316&amp;"-"&amp;LEFT(E316,1)&amp;IF(COUNTIFS($A$2:A316,A316,$B$2:B316,B316,$E$2:E316,E316)&gt;1,"-"&amp;COUNTIFS($A$2:A316,A316,$B$2:B316,B316,$E$2:E316,E316),""))</x:f>
      </x:c>
      <x:c r="E316" s="99"/>
      <x:c r="F316" s="99"/>
      <x:c r="G316" s="99"/>
      <x:c r="H316" s="99"/>
      <x:c r="I316" s="100"/>
      <x:c r="J316" s="99"/>
      <x:c r="K316" s="99"/>
      <x:c r="L316" s="99"/>
      <x:c r="M316" s="99"/>
      <x:c r="N316" s="99"/>
      <x:c r="O316" s="96" t="str">
        <x:f>IF(E316="","",IF(E316="Small",IF(OR(F316="",G316="",H316=""),"",IF(AND(F316="Yes",G316="Small",H316="Skip"),"Yes","No")),IF(OR(E316="Normal",E316="Large"),IF(OR(F316="",G316="",H316="",K316="",L316="",M316="",N316=""),"",IF(AND(F316="Yes",G316=E316,H316="Pick",K316="Yes",L316="No",M316=IF(E316="Normal","Normal_Bin","Large_Bin"),N316="Yes"),"Yes","No")),"")))</x:f>
      </x:c>
      <x:c r="P316" s="99"/>
      <x:c r="Q316" s="101"/>
      <x:c r="R316" s="102"/>
    </x:row>
    <x:row r="317">
      <x:c r="A317" s="97"/>
      <x:c r="B317" s="98"/>
      <x:c r="C317" s="97"/>
      <x:c r="D317" s="96" t="str">
        <x:f>IF(OR(A317="",B317="",E317=""),"","R"&amp;TEXT(A317,"00")&amp;"-"&amp;B317&amp;"-"&amp;LEFT(E317,1)&amp;IF(COUNTIFS($A$2:A317,A317,$B$2:B317,B317,$E$2:E317,E317)&gt;1,"-"&amp;COUNTIFS($A$2:A317,A317,$B$2:B317,B317,$E$2:E317,E317),""))</x:f>
      </x:c>
      <x:c r="E317" s="99"/>
      <x:c r="F317" s="99"/>
      <x:c r="G317" s="99"/>
      <x:c r="H317" s="99"/>
      <x:c r="I317" s="100"/>
      <x:c r="J317" s="99"/>
      <x:c r="K317" s="99"/>
      <x:c r="L317" s="99"/>
      <x:c r="M317" s="99"/>
      <x:c r="N317" s="99"/>
      <x:c r="O317" s="96" t="str">
        <x:f>IF(E317="","",IF(E317="Small",IF(OR(F317="",G317="",H317=""),"",IF(AND(F317="Yes",G317="Small",H317="Skip"),"Yes","No")),IF(OR(E317="Normal",E317="Large"),IF(OR(F317="",G317="",H317="",K317="",L317="",M317="",N317=""),"",IF(AND(F317="Yes",G317=E317,H317="Pick",K317="Yes",L317="No",M317=IF(E317="Normal","Normal_Bin","Large_Bin"),N317="Yes"),"Yes","No")),"")))</x:f>
      </x:c>
      <x:c r="P317" s="99"/>
      <x:c r="Q317" s="101"/>
      <x:c r="R317" s="102"/>
    </x:row>
    <x:row r="318">
      <x:c r="A318" s="97"/>
      <x:c r="B318" s="98"/>
      <x:c r="C318" s="97"/>
      <x:c r="D318" s="96" t="str">
        <x:f>IF(OR(A318="",B318="",E318=""),"","R"&amp;TEXT(A318,"00")&amp;"-"&amp;B318&amp;"-"&amp;LEFT(E318,1)&amp;IF(COUNTIFS($A$2:A318,A318,$B$2:B318,B318,$E$2:E318,E318)&gt;1,"-"&amp;COUNTIFS($A$2:A318,A318,$B$2:B318,B318,$E$2:E318,E318),""))</x:f>
      </x:c>
      <x:c r="E318" s="99"/>
      <x:c r="F318" s="99"/>
      <x:c r="G318" s="99"/>
      <x:c r="H318" s="99"/>
      <x:c r="I318" s="100"/>
      <x:c r="J318" s="99"/>
      <x:c r="K318" s="99"/>
      <x:c r="L318" s="99"/>
      <x:c r="M318" s="99"/>
      <x:c r="N318" s="99"/>
      <x:c r="O318" s="96" t="str">
        <x:f>IF(E318="","",IF(E318="Small",IF(OR(F318="",G318="",H318=""),"",IF(AND(F318="Yes",G318="Small",H318="Skip"),"Yes","No")),IF(OR(E318="Normal",E318="Large"),IF(OR(F318="",G318="",H318="",K318="",L318="",M318="",N318=""),"",IF(AND(F318="Yes",G318=E318,H318="Pick",K318="Yes",L318="No",M318=IF(E318="Normal","Normal_Bin","Large_Bin"),N318="Yes"),"Yes","No")),"")))</x:f>
      </x:c>
      <x:c r="P318" s="99"/>
      <x:c r="Q318" s="101"/>
      <x:c r="R318" s="102"/>
    </x:row>
    <x:row r="319">
      <x:c r="A319" s="97"/>
      <x:c r="B319" s="98"/>
      <x:c r="C319" s="97"/>
      <x:c r="D319" s="96" t="str">
        <x:f>IF(OR(A319="",B319="",E319=""),"","R"&amp;TEXT(A319,"00")&amp;"-"&amp;B319&amp;"-"&amp;LEFT(E319,1)&amp;IF(COUNTIFS($A$2:A319,A319,$B$2:B319,B319,$E$2:E319,E319)&gt;1,"-"&amp;COUNTIFS($A$2:A319,A319,$B$2:B319,B319,$E$2:E319,E319),""))</x:f>
      </x:c>
      <x:c r="E319" s="99"/>
      <x:c r="F319" s="99"/>
      <x:c r="G319" s="99"/>
      <x:c r="H319" s="99"/>
      <x:c r="I319" s="100"/>
      <x:c r="J319" s="99"/>
      <x:c r="K319" s="99"/>
      <x:c r="L319" s="99"/>
      <x:c r="M319" s="99"/>
      <x:c r="N319" s="99"/>
      <x:c r="O319" s="96" t="str">
        <x:f>IF(E319="","",IF(E319="Small",IF(OR(F319="",G319="",H319=""),"",IF(AND(F319="Yes",G319="Small",H319="Skip"),"Yes","No")),IF(OR(E319="Normal",E319="Large"),IF(OR(F319="",G319="",H319="",K319="",L319="",M319="",N319=""),"",IF(AND(F319="Yes",G319=E319,H319="Pick",K319="Yes",L319="No",M319=IF(E319="Normal","Normal_Bin","Large_Bin"),N319="Yes"),"Yes","No")),"")))</x:f>
      </x:c>
      <x:c r="P319" s="99"/>
      <x:c r="Q319" s="101"/>
      <x:c r="R319" s="102"/>
    </x:row>
    <x:row r="320">
      <x:c r="A320" s="97"/>
      <x:c r="B320" s="98"/>
      <x:c r="C320" s="97"/>
      <x:c r="D320" s="96" t="str">
        <x:f>IF(OR(A320="",B320="",E320=""),"","R"&amp;TEXT(A320,"00")&amp;"-"&amp;B320&amp;"-"&amp;LEFT(E320,1)&amp;IF(COUNTIFS($A$2:A320,A320,$B$2:B320,B320,$E$2:E320,E320)&gt;1,"-"&amp;COUNTIFS($A$2:A320,A320,$B$2:B320,B320,$E$2:E320,E320),""))</x:f>
      </x:c>
      <x:c r="E320" s="99"/>
      <x:c r="F320" s="99"/>
      <x:c r="G320" s="99"/>
      <x:c r="H320" s="99"/>
      <x:c r="I320" s="100"/>
      <x:c r="J320" s="99"/>
      <x:c r="K320" s="99"/>
      <x:c r="L320" s="99"/>
      <x:c r="M320" s="99"/>
      <x:c r="N320" s="99"/>
      <x:c r="O320" s="96" t="str">
        <x:f>IF(E320="","",IF(E320="Small",IF(OR(F320="",G320="",H320=""),"",IF(AND(F320="Yes",G320="Small",H320="Skip"),"Yes","No")),IF(OR(E320="Normal",E320="Large"),IF(OR(F320="",G320="",H320="",K320="",L320="",M320="",N320=""),"",IF(AND(F320="Yes",G320=E320,H320="Pick",K320="Yes",L320="No",M320=IF(E320="Normal","Normal_Bin","Large_Bin"),N320="Yes"),"Yes","No")),"")))</x:f>
      </x:c>
      <x:c r="P320" s="99"/>
      <x:c r="Q320" s="101"/>
      <x:c r="R320" s="102"/>
    </x:row>
    <x:row r="321">
      <x:c r="A321" s="97"/>
      <x:c r="B321" s="98"/>
      <x:c r="C321" s="97"/>
      <x:c r="D321" s="96" t="str">
        <x:f>IF(OR(A321="",B321="",E321=""),"","R"&amp;TEXT(A321,"00")&amp;"-"&amp;B321&amp;"-"&amp;LEFT(E321,1)&amp;IF(COUNTIFS($A$2:A321,A321,$B$2:B321,B321,$E$2:E321,E321)&gt;1,"-"&amp;COUNTIFS($A$2:A321,A321,$B$2:B321,B321,$E$2:E321,E321),""))</x:f>
      </x:c>
      <x:c r="E321" s="99"/>
      <x:c r="F321" s="99"/>
      <x:c r="G321" s="99"/>
      <x:c r="H321" s="99"/>
      <x:c r="I321" s="100"/>
      <x:c r="J321" s="99"/>
      <x:c r="K321" s="99"/>
      <x:c r="L321" s="99"/>
      <x:c r="M321" s="99"/>
      <x:c r="N321" s="99"/>
      <x:c r="O321" s="96" t="str">
        <x:f>IF(E321="","",IF(E321="Small",IF(OR(F321="",G321="",H321=""),"",IF(AND(F321="Yes",G321="Small",H321="Skip"),"Yes","No")),IF(OR(E321="Normal",E321="Large"),IF(OR(F321="",G321="",H321="",K321="",L321="",M321="",N321=""),"",IF(AND(F321="Yes",G321=E321,H321="Pick",K321="Yes",L321="No",M321=IF(E321="Normal","Normal_Bin","Large_Bin"),N321="Yes"),"Yes","No")),"")))</x:f>
      </x:c>
      <x:c r="P321" s="99"/>
      <x:c r="Q321" s="101"/>
      <x:c r="R321" s="102"/>
    </x:row>
    <x:row r="322">
      <x:c r="A322" s="97"/>
      <x:c r="B322" s="98"/>
      <x:c r="C322" s="97"/>
      <x:c r="D322" s="96" t="str">
        <x:f>IF(OR(A322="",B322="",E322=""),"","R"&amp;TEXT(A322,"00")&amp;"-"&amp;B322&amp;"-"&amp;LEFT(E322,1)&amp;IF(COUNTIFS($A$2:A322,A322,$B$2:B322,B322,$E$2:E322,E322)&gt;1,"-"&amp;COUNTIFS($A$2:A322,A322,$B$2:B322,B322,$E$2:E322,E322),""))</x:f>
      </x:c>
      <x:c r="E322" s="99"/>
      <x:c r="F322" s="99"/>
      <x:c r="G322" s="99"/>
      <x:c r="H322" s="99"/>
      <x:c r="I322" s="100"/>
      <x:c r="J322" s="99"/>
      <x:c r="K322" s="99"/>
      <x:c r="L322" s="99"/>
      <x:c r="M322" s="99"/>
      <x:c r="N322" s="99"/>
      <x:c r="O322" s="96" t="str">
        <x:f>IF(E322="","",IF(E322="Small",IF(OR(F322="",G322="",H322=""),"",IF(AND(F322="Yes",G322="Small",H322="Skip"),"Yes","No")),IF(OR(E322="Normal",E322="Large"),IF(OR(F322="",G322="",H322="",K322="",L322="",M322="",N322=""),"",IF(AND(F322="Yes",G322=E322,H322="Pick",K322="Yes",L322="No",M322=IF(E322="Normal","Normal_Bin","Large_Bin"),N322="Yes"),"Yes","No")),"")))</x:f>
      </x:c>
      <x:c r="P322" s="99"/>
      <x:c r="Q322" s="101"/>
      <x:c r="R322" s="102"/>
    </x:row>
    <x:row r="323">
      <x:c r="A323" s="97"/>
      <x:c r="B323" s="98"/>
      <x:c r="C323" s="97"/>
      <x:c r="D323" s="96" t="str">
        <x:f>IF(OR(A323="",B323="",E323=""),"","R"&amp;TEXT(A323,"00")&amp;"-"&amp;B323&amp;"-"&amp;LEFT(E323,1)&amp;IF(COUNTIFS($A$2:A323,A323,$B$2:B323,B323,$E$2:E323,E323)&gt;1,"-"&amp;COUNTIFS($A$2:A323,A323,$B$2:B323,B323,$E$2:E323,E323),""))</x:f>
      </x:c>
      <x:c r="E323" s="99"/>
      <x:c r="F323" s="99"/>
      <x:c r="G323" s="99"/>
      <x:c r="H323" s="99"/>
      <x:c r="I323" s="100"/>
      <x:c r="J323" s="99"/>
      <x:c r="K323" s="99"/>
      <x:c r="L323" s="99"/>
      <x:c r="M323" s="99"/>
      <x:c r="N323" s="99"/>
      <x:c r="O323" s="96" t="str">
        <x:f>IF(E323="","",IF(E323="Small",IF(OR(F323="",G323="",H323=""),"",IF(AND(F323="Yes",G323="Small",H323="Skip"),"Yes","No")),IF(OR(E323="Normal",E323="Large"),IF(OR(F323="",G323="",H323="",K323="",L323="",M323="",N323=""),"",IF(AND(F323="Yes",G323=E323,H323="Pick",K323="Yes",L323="No",M323=IF(E323="Normal","Normal_Bin","Large_Bin"),N323="Yes"),"Yes","No")),"")))</x:f>
      </x:c>
      <x:c r="P323" s="99"/>
      <x:c r="Q323" s="101"/>
      <x:c r="R323" s="102"/>
    </x:row>
    <x:row r="324">
      <x:c r="A324" s="97"/>
      <x:c r="B324" s="98"/>
      <x:c r="C324" s="97"/>
      <x:c r="D324" s="96" t="str">
        <x:f>IF(OR(A324="",B324="",E324=""),"","R"&amp;TEXT(A324,"00")&amp;"-"&amp;B324&amp;"-"&amp;LEFT(E324,1)&amp;IF(COUNTIFS($A$2:A324,A324,$B$2:B324,B324,$E$2:E324,E324)&gt;1,"-"&amp;COUNTIFS($A$2:A324,A324,$B$2:B324,B324,$E$2:E324,E324),""))</x:f>
      </x:c>
      <x:c r="E324" s="99"/>
      <x:c r="F324" s="99"/>
      <x:c r="G324" s="99"/>
      <x:c r="H324" s="99"/>
      <x:c r="I324" s="100"/>
      <x:c r="J324" s="99"/>
      <x:c r="K324" s="99"/>
      <x:c r="L324" s="99"/>
      <x:c r="M324" s="99"/>
      <x:c r="N324" s="99"/>
      <x:c r="O324" s="96" t="str">
        <x:f>IF(E324="","",IF(E324="Small",IF(OR(F324="",G324="",H324=""),"",IF(AND(F324="Yes",G324="Small",H324="Skip"),"Yes","No")),IF(OR(E324="Normal",E324="Large"),IF(OR(F324="",G324="",H324="",K324="",L324="",M324="",N324=""),"",IF(AND(F324="Yes",G324=E324,H324="Pick",K324="Yes",L324="No",M324=IF(E324="Normal","Normal_Bin","Large_Bin"),N324="Yes"),"Yes","No")),"")))</x:f>
      </x:c>
      <x:c r="P324" s="99"/>
      <x:c r="Q324" s="101"/>
      <x:c r="R324" s="102"/>
    </x:row>
    <x:row r="325">
      <x:c r="A325" s="97"/>
      <x:c r="B325" s="98"/>
      <x:c r="C325" s="97"/>
      <x:c r="D325" s="96" t="str">
        <x:f>IF(OR(A325="",B325="",E325=""),"","R"&amp;TEXT(A325,"00")&amp;"-"&amp;B325&amp;"-"&amp;LEFT(E325,1)&amp;IF(COUNTIFS($A$2:A325,A325,$B$2:B325,B325,$E$2:E325,E325)&gt;1,"-"&amp;COUNTIFS($A$2:A325,A325,$B$2:B325,B325,$E$2:E325,E325),""))</x:f>
      </x:c>
      <x:c r="E325" s="99"/>
      <x:c r="F325" s="99"/>
      <x:c r="G325" s="99"/>
      <x:c r="H325" s="99"/>
      <x:c r="I325" s="100"/>
      <x:c r="J325" s="99"/>
      <x:c r="K325" s="99"/>
      <x:c r="L325" s="99"/>
      <x:c r="M325" s="99"/>
      <x:c r="N325" s="99"/>
      <x:c r="O325" s="96" t="str">
        <x:f>IF(E325="","",IF(E325="Small",IF(OR(F325="",G325="",H325=""),"",IF(AND(F325="Yes",G325="Small",H325="Skip"),"Yes","No")),IF(OR(E325="Normal",E325="Large"),IF(OR(F325="",G325="",H325="",K325="",L325="",M325="",N325=""),"",IF(AND(F325="Yes",G325=E325,H325="Pick",K325="Yes",L325="No",M325=IF(E325="Normal","Normal_Bin","Large_Bin"),N325="Yes"),"Yes","No")),"")))</x:f>
      </x:c>
      <x:c r="P325" s="99"/>
      <x:c r="Q325" s="101"/>
      <x:c r="R325" s="102"/>
    </x:row>
    <x:row r="326">
      <x:c r="A326" s="97"/>
      <x:c r="B326" s="98"/>
      <x:c r="C326" s="97"/>
      <x:c r="D326" s="96" t="str">
        <x:f>IF(OR(A326="",B326="",E326=""),"","R"&amp;TEXT(A326,"00")&amp;"-"&amp;B326&amp;"-"&amp;LEFT(E326,1)&amp;IF(COUNTIFS($A$2:A326,A326,$B$2:B326,B326,$E$2:E326,E326)&gt;1,"-"&amp;COUNTIFS($A$2:A326,A326,$B$2:B326,B326,$E$2:E326,E326),""))</x:f>
      </x:c>
      <x:c r="E326" s="99"/>
      <x:c r="F326" s="99"/>
      <x:c r="G326" s="99"/>
      <x:c r="H326" s="99"/>
      <x:c r="I326" s="100"/>
      <x:c r="J326" s="99"/>
      <x:c r="K326" s="99"/>
      <x:c r="L326" s="99"/>
      <x:c r="M326" s="99"/>
      <x:c r="N326" s="99"/>
      <x:c r="O326" s="96" t="str">
        <x:f>IF(E326="","",IF(E326="Small",IF(OR(F326="",G326="",H326=""),"",IF(AND(F326="Yes",G326="Small",H326="Skip"),"Yes","No")),IF(OR(E326="Normal",E326="Large"),IF(OR(F326="",G326="",H326="",K326="",L326="",M326="",N326=""),"",IF(AND(F326="Yes",G326=E326,H326="Pick",K326="Yes",L326="No",M326=IF(E326="Normal","Normal_Bin","Large_Bin"),N326="Yes"),"Yes","No")),"")))</x:f>
      </x:c>
      <x:c r="P326" s="99"/>
      <x:c r="Q326" s="101"/>
      <x:c r="R326" s="102"/>
    </x:row>
    <x:row r="327">
      <x:c r="A327" s="97"/>
      <x:c r="B327" s="98"/>
      <x:c r="C327" s="97"/>
      <x:c r="D327" s="96" t="str">
        <x:f>IF(OR(A327="",B327="",E327=""),"","R"&amp;TEXT(A327,"00")&amp;"-"&amp;B327&amp;"-"&amp;LEFT(E327,1)&amp;IF(COUNTIFS($A$2:A327,A327,$B$2:B327,B327,$E$2:E327,E327)&gt;1,"-"&amp;COUNTIFS($A$2:A327,A327,$B$2:B327,B327,$E$2:E327,E327),""))</x:f>
      </x:c>
      <x:c r="E327" s="99"/>
      <x:c r="F327" s="99"/>
      <x:c r="G327" s="99"/>
      <x:c r="H327" s="99"/>
      <x:c r="I327" s="100"/>
      <x:c r="J327" s="99"/>
      <x:c r="K327" s="99"/>
      <x:c r="L327" s="99"/>
      <x:c r="M327" s="99"/>
      <x:c r="N327" s="99"/>
      <x:c r="O327" s="96" t="str">
        <x:f>IF(E327="","",IF(E327="Small",IF(OR(F327="",G327="",H327=""),"",IF(AND(F327="Yes",G327="Small",H327="Skip"),"Yes","No")),IF(OR(E327="Normal",E327="Large"),IF(OR(F327="",G327="",H327="",K327="",L327="",M327="",N327=""),"",IF(AND(F327="Yes",G327=E327,H327="Pick",K327="Yes",L327="No",M327=IF(E327="Normal","Normal_Bin","Large_Bin"),N327="Yes"),"Yes","No")),"")))</x:f>
      </x:c>
      <x:c r="P327" s="99"/>
      <x:c r="Q327" s="101"/>
      <x:c r="R327" s="102"/>
    </x:row>
    <x:row r="328">
      <x:c r="A328" s="97"/>
      <x:c r="B328" s="98"/>
      <x:c r="C328" s="97"/>
      <x:c r="D328" s="96" t="str">
        <x:f>IF(OR(A328="",B328="",E328=""),"","R"&amp;TEXT(A328,"00")&amp;"-"&amp;B328&amp;"-"&amp;LEFT(E328,1)&amp;IF(COUNTIFS($A$2:A328,A328,$B$2:B328,B328,$E$2:E328,E328)&gt;1,"-"&amp;COUNTIFS($A$2:A328,A328,$B$2:B328,B328,$E$2:E328,E328),""))</x:f>
      </x:c>
      <x:c r="E328" s="99"/>
      <x:c r="F328" s="99"/>
      <x:c r="G328" s="99"/>
      <x:c r="H328" s="99"/>
      <x:c r="I328" s="100"/>
      <x:c r="J328" s="99"/>
      <x:c r="K328" s="99"/>
      <x:c r="L328" s="99"/>
      <x:c r="M328" s="99"/>
      <x:c r="N328" s="99"/>
      <x:c r="O328" s="96" t="str">
        <x:f>IF(E328="","",IF(E328="Small",IF(OR(F328="",G328="",H328=""),"",IF(AND(F328="Yes",G328="Small",H328="Skip"),"Yes","No")),IF(OR(E328="Normal",E328="Large"),IF(OR(F328="",G328="",H328="",K328="",L328="",M328="",N328=""),"",IF(AND(F328="Yes",G328=E328,H328="Pick",K328="Yes",L328="No",M328=IF(E328="Normal","Normal_Bin","Large_Bin"),N328="Yes"),"Yes","No")),"")))</x:f>
      </x:c>
      <x:c r="P328" s="99"/>
      <x:c r="Q328" s="101"/>
      <x:c r="R328" s="102"/>
    </x:row>
    <x:row r="329">
      <x:c r="A329" s="97"/>
      <x:c r="B329" s="98"/>
      <x:c r="C329" s="97"/>
      <x:c r="D329" s="96" t="str">
        <x:f>IF(OR(A329="",B329="",E329=""),"","R"&amp;TEXT(A329,"00")&amp;"-"&amp;B329&amp;"-"&amp;LEFT(E329,1)&amp;IF(COUNTIFS($A$2:A329,A329,$B$2:B329,B329,$E$2:E329,E329)&gt;1,"-"&amp;COUNTIFS($A$2:A329,A329,$B$2:B329,B329,$E$2:E329,E329),""))</x:f>
      </x:c>
      <x:c r="E329" s="99"/>
      <x:c r="F329" s="99"/>
      <x:c r="G329" s="99"/>
      <x:c r="H329" s="99"/>
      <x:c r="I329" s="100"/>
      <x:c r="J329" s="99"/>
      <x:c r="K329" s="99"/>
      <x:c r="L329" s="99"/>
      <x:c r="M329" s="99"/>
      <x:c r="N329" s="99"/>
      <x:c r="O329" s="96" t="str">
        <x:f>IF(E329="","",IF(E329="Small",IF(OR(F329="",G329="",H329=""),"",IF(AND(F329="Yes",G329="Small",H329="Skip"),"Yes","No")),IF(OR(E329="Normal",E329="Large"),IF(OR(F329="",G329="",H329="",K329="",L329="",M329="",N329=""),"",IF(AND(F329="Yes",G329=E329,H329="Pick",K329="Yes",L329="No",M329=IF(E329="Normal","Normal_Bin","Large_Bin"),N329="Yes"),"Yes","No")),"")))</x:f>
      </x:c>
      <x:c r="P329" s="99"/>
      <x:c r="Q329" s="101"/>
      <x:c r="R329" s="102"/>
    </x:row>
    <x:row r="330">
      <x:c r="A330" s="97"/>
      <x:c r="B330" s="98"/>
      <x:c r="C330" s="97"/>
      <x:c r="D330" s="96" t="str">
        <x:f>IF(OR(A330="",B330="",E330=""),"","R"&amp;TEXT(A330,"00")&amp;"-"&amp;B330&amp;"-"&amp;LEFT(E330,1)&amp;IF(COUNTIFS($A$2:A330,A330,$B$2:B330,B330,$E$2:E330,E330)&gt;1,"-"&amp;COUNTIFS($A$2:A330,A330,$B$2:B330,B330,$E$2:E330,E330),""))</x:f>
      </x:c>
      <x:c r="E330" s="99"/>
      <x:c r="F330" s="99"/>
      <x:c r="G330" s="99"/>
      <x:c r="H330" s="99"/>
      <x:c r="I330" s="100"/>
      <x:c r="J330" s="99"/>
      <x:c r="K330" s="99"/>
      <x:c r="L330" s="99"/>
      <x:c r="M330" s="99"/>
      <x:c r="N330" s="99"/>
      <x:c r="O330" s="96" t="str">
        <x:f>IF(E330="","",IF(E330="Small",IF(OR(F330="",G330="",H330=""),"",IF(AND(F330="Yes",G330="Small",H330="Skip"),"Yes","No")),IF(OR(E330="Normal",E330="Large"),IF(OR(F330="",G330="",H330="",K330="",L330="",M330="",N330=""),"",IF(AND(F330="Yes",G330=E330,H330="Pick",K330="Yes",L330="No",M330=IF(E330="Normal","Normal_Bin","Large_Bin"),N330="Yes"),"Yes","No")),"")))</x:f>
      </x:c>
      <x:c r="P330" s="99"/>
      <x:c r="Q330" s="101"/>
      <x:c r="R330" s="102"/>
    </x:row>
    <x:row r="331">
      <x:c r="A331" s="97"/>
      <x:c r="B331" s="98"/>
      <x:c r="C331" s="97"/>
      <x:c r="D331" s="96" t="str">
        <x:f>IF(OR(A331="",B331="",E331=""),"","R"&amp;TEXT(A331,"00")&amp;"-"&amp;B331&amp;"-"&amp;LEFT(E331,1)&amp;IF(COUNTIFS($A$2:A331,A331,$B$2:B331,B331,$E$2:E331,E331)&gt;1,"-"&amp;COUNTIFS($A$2:A331,A331,$B$2:B331,B331,$E$2:E331,E331),""))</x:f>
      </x:c>
      <x:c r="E331" s="99"/>
      <x:c r="F331" s="99"/>
      <x:c r="G331" s="99"/>
      <x:c r="H331" s="99"/>
      <x:c r="I331" s="100"/>
      <x:c r="J331" s="99"/>
      <x:c r="K331" s="99"/>
      <x:c r="L331" s="99"/>
      <x:c r="M331" s="99"/>
      <x:c r="N331" s="99"/>
      <x:c r="O331" s="96" t="str">
        <x:f>IF(E331="","",IF(E331="Small",IF(OR(F331="",G331="",H331=""),"",IF(AND(F331="Yes",G331="Small",H331="Skip"),"Yes","No")),IF(OR(E331="Normal",E331="Large"),IF(OR(F331="",G331="",H331="",K331="",L331="",M331="",N331=""),"",IF(AND(F331="Yes",G331=E331,H331="Pick",K331="Yes",L331="No",M331=IF(E331="Normal","Normal_Bin","Large_Bin"),N331="Yes"),"Yes","No")),"")))</x:f>
      </x:c>
      <x:c r="P331" s="99"/>
      <x:c r="Q331" s="101"/>
      <x:c r="R331" s="102"/>
    </x:row>
    <x:row r="332">
      <x:c r="A332" s="97"/>
      <x:c r="B332" s="98"/>
      <x:c r="C332" s="97"/>
      <x:c r="D332" s="96" t="str">
        <x:f>IF(OR(A332="",B332="",E332=""),"","R"&amp;TEXT(A332,"00")&amp;"-"&amp;B332&amp;"-"&amp;LEFT(E332,1)&amp;IF(COUNTIFS($A$2:A332,A332,$B$2:B332,B332,$E$2:E332,E332)&gt;1,"-"&amp;COUNTIFS($A$2:A332,A332,$B$2:B332,B332,$E$2:E332,E332),""))</x:f>
      </x:c>
      <x:c r="E332" s="99"/>
      <x:c r="F332" s="99"/>
      <x:c r="G332" s="99"/>
      <x:c r="H332" s="99"/>
      <x:c r="I332" s="100"/>
      <x:c r="J332" s="99"/>
      <x:c r="K332" s="99"/>
      <x:c r="L332" s="99"/>
      <x:c r="M332" s="99"/>
      <x:c r="N332" s="99"/>
      <x:c r="O332" s="96" t="str">
        <x:f>IF(E332="","",IF(E332="Small",IF(OR(F332="",G332="",H332=""),"",IF(AND(F332="Yes",G332="Small",H332="Skip"),"Yes","No")),IF(OR(E332="Normal",E332="Large"),IF(OR(F332="",G332="",H332="",K332="",L332="",M332="",N332=""),"",IF(AND(F332="Yes",G332=E332,H332="Pick",K332="Yes",L332="No",M332=IF(E332="Normal","Normal_Bin","Large_Bin"),N332="Yes"),"Yes","No")),"")))</x:f>
      </x:c>
      <x:c r="P332" s="99"/>
      <x:c r="Q332" s="101"/>
      <x:c r="R332" s="102"/>
    </x:row>
    <x:row r="333">
      <x:c r="A333" s="97"/>
      <x:c r="B333" s="98"/>
      <x:c r="C333" s="97"/>
      <x:c r="D333" s="96" t="str">
        <x:f>IF(OR(A333="",B333="",E333=""),"","R"&amp;TEXT(A333,"00")&amp;"-"&amp;B333&amp;"-"&amp;LEFT(E333,1)&amp;IF(COUNTIFS($A$2:A333,A333,$B$2:B333,B333,$E$2:E333,E333)&gt;1,"-"&amp;COUNTIFS($A$2:A333,A333,$B$2:B333,B333,$E$2:E333,E333),""))</x:f>
      </x:c>
      <x:c r="E333" s="99"/>
      <x:c r="F333" s="99"/>
      <x:c r="G333" s="99"/>
      <x:c r="H333" s="99"/>
      <x:c r="I333" s="100"/>
      <x:c r="J333" s="99"/>
      <x:c r="K333" s="99"/>
      <x:c r="L333" s="99"/>
      <x:c r="M333" s="99"/>
      <x:c r="N333" s="99"/>
      <x:c r="O333" s="96" t="str">
        <x:f>IF(E333="","",IF(E333="Small",IF(OR(F333="",G333="",H333=""),"",IF(AND(F333="Yes",G333="Small",H333="Skip"),"Yes","No")),IF(OR(E333="Normal",E333="Large"),IF(OR(F333="",G333="",H333="",K333="",L333="",M333="",N333=""),"",IF(AND(F333="Yes",G333=E333,H333="Pick",K333="Yes",L333="No",M333=IF(E333="Normal","Normal_Bin","Large_Bin"),N333="Yes"),"Yes","No")),"")))</x:f>
      </x:c>
      <x:c r="P333" s="99"/>
      <x:c r="Q333" s="101"/>
      <x:c r="R333" s="102"/>
    </x:row>
    <x:row r="334">
      <x:c r="A334" s="97"/>
      <x:c r="B334" s="98"/>
      <x:c r="C334" s="97"/>
      <x:c r="D334" s="96" t="str">
        <x:f>IF(OR(A334="",B334="",E334=""),"","R"&amp;TEXT(A334,"00")&amp;"-"&amp;B334&amp;"-"&amp;LEFT(E334,1)&amp;IF(COUNTIFS($A$2:A334,A334,$B$2:B334,B334,$E$2:E334,E334)&gt;1,"-"&amp;COUNTIFS($A$2:A334,A334,$B$2:B334,B334,$E$2:E334,E334),""))</x:f>
      </x:c>
      <x:c r="E334" s="99"/>
      <x:c r="F334" s="99"/>
      <x:c r="G334" s="99"/>
      <x:c r="H334" s="99"/>
      <x:c r="I334" s="100"/>
      <x:c r="J334" s="99"/>
      <x:c r="K334" s="99"/>
      <x:c r="L334" s="99"/>
      <x:c r="M334" s="99"/>
      <x:c r="N334" s="99"/>
      <x:c r="O334" s="96" t="str">
        <x:f>IF(E334="","",IF(E334="Small",IF(OR(F334="",G334="",H334=""),"",IF(AND(F334="Yes",G334="Small",H334="Skip"),"Yes","No")),IF(OR(E334="Normal",E334="Large"),IF(OR(F334="",G334="",H334="",K334="",L334="",M334="",N334=""),"",IF(AND(F334="Yes",G334=E334,H334="Pick",K334="Yes",L334="No",M334=IF(E334="Normal","Normal_Bin","Large_Bin"),N334="Yes"),"Yes","No")),"")))</x:f>
      </x:c>
      <x:c r="P334" s="99"/>
      <x:c r="Q334" s="101"/>
      <x:c r="R334" s="102"/>
    </x:row>
    <x:row r="335">
      <x:c r="A335" s="97"/>
      <x:c r="B335" s="98"/>
      <x:c r="C335" s="97"/>
      <x:c r="D335" s="96" t="str">
        <x:f>IF(OR(A335="",B335="",E335=""),"","R"&amp;TEXT(A335,"00")&amp;"-"&amp;B335&amp;"-"&amp;LEFT(E335,1)&amp;IF(COUNTIFS($A$2:A335,A335,$B$2:B335,B335,$E$2:E335,E335)&gt;1,"-"&amp;COUNTIFS($A$2:A335,A335,$B$2:B335,B335,$E$2:E335,E335),""))</x:f>
      </x:c>
      <x:c r="E335" s="99"/>
      <x:c r="F335" s="99"/>
      <x:c r="G335" s="99"/>
      <x:c r="H335" s="99"/>
      <x:c r="I335" s="100"/>
      <x:c r="J335" s="99"/>
      <x:c r="K335" s="99"/>
      <x:c r="L335" s="99"/>
      <x:c r="M335" s="99"/>
      <x:c r="N335" s="99"/>
      <x:c r="O335" s="96" t="str">
        <x:f>IF(E335="","",IF(E335="Small",IF(OR(F335="",G335="",H335=""),"",IF(AND(F335="Yes",G335="Small",H335="Skip"),"Yes","No")),IF(OR(E335="Normal",E335="Large"),IF(OR(F335="",G335="",H335="",K335="",L335="",M335="",N335=""),"",IF(AND(F335="Yes",G335=E335,H335="Pick",K335="Yes",L335="No",M335=IF(E335="Normal","Normal_Bin","Large_Bin"),N335="Yes"),"Yes","No")),"")))</x:f>
      </x:c>
      <x:c r="P335" s="99"/>
      <x:c r="Q335" s="101"/>
      <x:c r="R335" s="102"/>
    </x:row>
    <x:row r="336">
      <x:c r="A336" s="97"/>
      <x:c r="B336" s="98"/>
      <x:c r="C336" s="97"/>
      <x:c r="D336" s="96" t="str">
        <x:f>IF(OR(A336="",B336="",E336=""),"","R"&amp;TEXT(A336,"00")&amp;"-"&amp;B336&amp;"-"&amp;LEFT(E336,1)&amp;IF(COUNTIFS($A$2:A336,A336,$B$2:B336,B336,$E$2:E336,E336)&gt;1,"-"&amp;COUNTIFS($A$2:A336,A336,$B$2:B336,B336,$E$2:E336,E336),""))</x:f>
      </x:c>
      <x:c r="E336" s="99"/>
      <x:c r="F336" s="99"/>
      <x:c r="G336" s="99"/>
      <x:c r="H336" s="99"/>
      <x:c r="I336" s="100"/>
      <x:c r="J336" s="99"/>
      <x:c r="K336" s="99"/>
      <x:c r="L336" s="99"/>
      <x:c r="M336" s="99"/>
      <x:c r="N336" s="99"/>
      <x:c r="O336" s="96" t="str">
        <x:f>IF(E336="","",IF(E336="Small",IF(OR(F336="",G336="",H336=""),"",IF(AND(F336="Yes",G336="Small",H336="Skip"),"Yes","No")),IF(OR(E336="Normal",E336="Large"),IF(OR(F336="",G336="",H336="",K336="",L336="",M336="",N336=""),"",IF(AND(F336="Yes",G336=E336,H336="Pick",K336="Yes",L336="No",M336=IF(E336="Normal","Normal_Bin","Large_Bin"),N336="Yes"),"Yes","No")),"")))</x:f>
      </x:c>
      <x:c r="P336" s="99"/>
      <x:c r="Q336" s="101"/>
      <x:c r="R336" s="102"/>
    </x:row>
    <x:row r="337">
      <x:c r="A337" s="97"/>
      <x:c r="B337" s="98"/>
      <x:c r="C337" s="97"/>
      <x:c r="D337" s="96" t="str">
        <x:f>IF(OR(A337="",B337="",E337=""),"","R"&amp;TEXT(A337,"00")&amp;"-"&amp;B337&amp;"-"&amp;LEFT(E337,1)&amp;IF(COUNTIFS($A$2:A337,A337,$B$2:B337,B337,$E$2:E337,E337)&gt;1,"-"&amp;COUNTIFS($A$2:A337,A337,$B$2:B337,B337,$E$2:E337,E337),""))</x:f>
      </x:c>
      <x:c r="E337" s="99"/>
      <x:c r="F337" s="99"/>
      <x:c r="G337" s="99"/>
      <x:c r="H337" s="99"/>
      <x:c r="I337" s="100"/>
      <x:c r="J337" s="99"/>
      <x:c r="K337" s="99"/>
      <x:c r="L337" s="99"/>
      <x:c r="M337" s="99"/>
      <x:c r="N337" s="99"/>
      <x:c r="O337" s="96" t="str">
        <x:f>IF(E337="","",IF(E337="Small",IF(OR(F337="",G337="",H337=""),"",IF(AND(F337="Yes",G337="Small",H337="Skip"),"Yes","No")),IF(OR(E337="Normal",E337="Large"),IF(OR(F337="",G337="",H337="",K337="",L337="",M337="",N337=""),"",IF(AND(F337="Yes",G337=E337,H337="Pick",K337="Yes",L337="No",M337=IF(E337="Normal","Normal_Bin","Large_Bin"),N337="Yes"),"Yes","No")),"")))</x:f>
      </x:c>
      <x:c r="P337" s="99"/>
      <x:c r="Q337" s="101"/>
      <x:c r="R337" s="102"/>
    </x:row>
    <x:row r="338">
      <x:c r="A338" s="97"/>
      <x:c r="B338" s="98"/>
      <x:c r="C338" s="97"/>
      <x:c r="D338" s="96" t="str">
        <x:f>IF(OR(A338="",B338="",E338=""),"","R"&amp;TEXT(A338,"00")&amp;"-"&amp;B338&amp;"-"&amp;LEFT(E338,1)&amp;IF(COUNTIFS($A$2:A338,A338,$B$2:B338,B338,$E$2:E338,E338)&gt;1,"-"&amp;COUNTIFS($A$2:A338,A338,$B$2:B338,B338,$E$2:E338,E338),""))</x:f>
      </x:c>
      <x:c r="E338" s="99"/>
      <x:c r="F338" s="99"/>
      <x:c r="G338" s="99"/>
      <x:c r="H338" s="99"/>
      <x:c r="I338" s="100"/>
      <x:c r="J338" s="99"/>
      <x:c r="K338" s="99"/>
      <x:c r="L338" s="99"/>
      <x:c r="M338" s="99"/>
      <x:c r="N338" s="99"/>
      <x:c r="O338" s="96" t="str">
        <x:f>IF(E338="","",IF(E338="Small",IF(OR(F338="",G338="",H338=""),"",IF(AND(F338="Yes",G338="Small",H338="Skip"),"Yes","No")),IF(OR(E338="Normal",E338="Large"),IF(OR(F338="",G338="",H338="",K338="",L338="",M338="",N338=""),"",IF(AND(F338="Yes",G338=E338,H338="Pick",K338="Yes",L338="No",M338=IF(E338="Normal","Normal_Bin","Large_Bin"),N338="Yes"),"Yes","No")),"")))</x:f>
      </x:c>
      <x:c r="P338" s="99"/>
      <x:c r="Q338" s="101"/>
      <x:c r="R338" s="102"/>
    </x:row>
    <x:row r="339">
      <x:c r="A339" s="97"/>
      <x:c r="B339" s="98"/>
      <x:c r="C339" s="97"/>
      <x:c r="D339" s="96" t="str">
        <x:f>IF(OR(A339="",B339="",E339=""),"","R"&amp;TEXT(A339,"00")&amp;"-"&amp;B339&amp;"-"&amp;LEFT(E339,1)&amp;IF(COUNTIFS($A$2:A339,A339,$B$2:B339,B339,$E$2:E339,E339)&gt;1,"-"&amp;COUNTIFS($A$2:A339,A339,$B$2:B339,B339,$E$2:E339,E339),""))</x:f>
      </x:c>
      <x:c r="E339" s="99"/>
      <x:c r="F339" s="99"/>
      <x:c r="G339" s="99"/>
      <x:c r="H339" s="99"/>
      <x:c r="I339" s="100"/>
      <x:c r="J339" s="99"/>
      <x:c r="K339" s="99"/>
      <x:c r="L339" s="99"/>
      <x:c r="M339" s="99"/>
      <x:c r="N339" s="99"/>
      <x:c r="O339" s="96" t="str">
        <x:f>IF(E339="","",IF(E339="Small",IF(OR(F339="",G339="",H339=""),"",IF(AND(F339="Yes",G339="Small",H339="Skip"),"Yes","No")),IF(OR(E339="Normal",E339="Large"),IF(OR(F339="",G339="",H339="",K339="",L339="",M339="",N339=""),"",IF(AND(F339="Yes",G339=E339,H339="Pick",K339="Yes",L339="No",M339=IF(E339="Normal","Normal_Bin","Large_Bin"),N339="Yes"),"Yes","No")),"")))</x:f>
      </x:c>
      <x:c r="P339" s="99"/>
      <x:c r="Q339" s="101"/>
      <x:c r="R339" s="102"/>
    </x:row>
    <x:row r="340">
      <x:c r="A340" s="97"/>
      <x:c r="B340" s="98"/>
      <x:c r="C340" s="97"/>
      <x:c r="D340" s="96" t="str">
        <x:f>IF(OR(A340="",B340="",E340=""),"","R"&amp;TEXT(A340,"00")&amp;"-"&amp;B340&amp;"-"&amp;LEFT(E340,1)&amp;IF(COUNTIFS($A$2:A340,A340,$B$2:B340,B340,$E$2:E340,E340)&gt;1,"-"&amp;COUNTIFS($A$2:A340,A340,$B$2:B340,B340,$E$2:E340,E340),""))</x:f>
      </x:c>
      <x:c r="E340" s="99"/>
      <x:c r="F340" s="99"/>
      <x:c r="G340" s="99"/>
      <x:c r="H340" s="99"/>
      <x:c r="I340" s="100"/>
      <x:c r="J340" s="99"/>
      <x:c r="K340" s="99"/>
      <x:c r="L340" s="99"/>
      <x:c r="M340" s="99"/>
      <x:c r="N340" s="99"/>
      <x:c r="O340" s="96" t="str">
        <x:f>IF(E340="","",IF(E340="Small",IF(OR(F340="",G340="",H340=""),"",IF(AND(F340="Yes",G340="Small",H340="Skip"),"Yes","No")),IF(OR(E340="Normal",E340="Large"),IF(OR(F340="",G340="",H340="",K340="",L340="",M340="",N340=""),"",IF(AND(F340="Yes",G340=E340,H340="Pick",K340="Yes",L340="No",M340=IF(E340="Normal","Normal_Bin","Large_Bin"),N340="Yes"),"Yes","No")),"")))</x:f>
      </x:c>
      <x:c r="P340" s="99"/>
      <x:c r="Q340" s="101"/>
      <x:c r="R340" s="102"/>
    </x:row>
    <x:row r="341">
      <x:c r="A341" s="97"/>
      <x:c r="B341" s="98"/>
      <x:c r="C341" s="97"/>
      <x:c r="D341" s="96" t="str">
        <x:f>IF(OR(A341="",B341="",E341=""),"","R"&amp;TEXT(A341,"00")&amp;"-"&amp;B341&amp;"-"&amp;LEFT(E341,1)&amp;IF(COUNTIFS($A$2:A341,A341,$B$2:B341,B341,$E$2:E341,E341)&gt;1,"-"&amp;COUNTIFS($A$2:A341,A341,$B$2:B341,B341,$E$2:E341,E341),""))</x:f>
      </x:c>
      <x:c r="E341" s="99"/>
      <x:c r="F341" s="99"/>
      <x:c r="G341" s="99"/>
      <x:c r="H341" s="99"/>
      <x:c r="I341" s="100"/>
      <x:c r="J341" s="99"/>
      <x:c r="K341" s="99"/>
      <x:c r="L341" s="99"/>
      <x:c r="M341" s="99"/>
      <x:c r="N341" s="99"/>
      <x:c r="O341" s="96" t="str">
        <x:f>IF(E341="","",IF(E341="Small",IF(OR(F341="",G341="",H341=""),"",IF(AND(F341="Yes",G341="Small",H341="Skip"),"Yes","No")),IF(OR(E341="Normal",E341="Large"),IF(OR(F341="",G341="",H341="",K341="",L341="",M341="",N341=""),"",IF(AND(F341="Yes",G341=E341,H341="Pick",K341="Yes",L341="No",M341=IF(E341="Normal","Normal_Bin","Large_Bin"),N341="Yes"),"Yes","No")),"")))</x:f>
      </x:c>
      <x:c r="P341" s="99"/>
      <x:c r="Q341" s="101"/>
      <x:c r="R341" s="102"/>
    </x:row>
    <x:row r="342">
      <x:c r="A342" s="97"/>
      <x:c r="B342" s="98"/>
      <x:c r="C342" s="97"/>
      <x:c r="D342" s="96" t="str">
        <x:f>IF(OR(A342="",B342="",E342=""),"","R"&amp;TEXT(A342,"00")&amp;"-"&amp;B342&amp;"-"&amp;LEFT(E342,1)&amp;IF(COUNTIFS($A$2:A342,A342,$B$2:B342,B342,$E$2:E342,E342)&gt;1,"-"&amp;COUNTIFS($A$2:A342,A342,$B$2:B342,B342,$E$2:E342,E342),""))</x:f>
      </x:c>
      <x:c r="E342" s="99"/>
      <x:c r="F342" s="99"/>
      <x:c r="G342" s="99"/>
      <x:c r="H342" s="99"/>
      <x:c r="I342" s="100"/>
      <x:c r="J342" s="99"/>
      <x:c r="K342" s="99"/>
      <x:c r="L342" s="99"/>
      <x:c r="M342" s="99"/>
      <x:c r="N342" s="99"/>
      <x:c r="O342" s="96" t="str">
        <x:f>IF(E342="","",IF(E342="Small",IF(OR(F342="",G342="",H342=""),"",IF(AND(F342="Yes",G342="Small",H342="Skip"),"Yes","No")),IF(OR(E342="Normal",E342="Large"),IF(OR(F342="",G342="",H342="",K342="",L342="",M342="",N342=""),"",IF(AND(F342="Yes",G342=E342,H342="Pick",K342="Yes",L342="No",M342=IF(E342="Normal","Normal_Bin","Large_Bin"),N342="Yes"),"Yes","No")),"")))</x:f>
      </x:c>
      <x:c r="P342" s="99"/>
      <x:c r="Q342" s="101"/>
      <x:c r="R342" s="102"/>
    </x:row>
    <x:row r="343">
      <x:c r="A343" s="97"/>
      <x:c r="B343" s="98"/>
      <x:c r="C343" s="97"/>
      <x:c r="D343" s="96" t="str">
        <x:f>IF(OR(A343="",B343="",E343=""),"","R"&amp;TEXT(A343,"00")&amp;"-"&amp;B343&amp;"-"&amp;LEFT(E343,1)&amp;IF(COUNTIFS($A$2:A343,A343,$B$2:B343,B343,$E$2:E343,E343)&gt;1,"-"&amp;COUNTIFS($A$2:A343,A343,$B$2:B343,B343,$E$2:E343,E343),""))</x:f>
      </x:c>
      <x:c r="E343" s="99"/>
      <x:c r="F343" s="99"/>
      <x:c r="G343" s="99"/>
      <x:c r="H343" s="99"/>
      <x:c r="I343" s="100"/>
      <x:c r="J343" s="99"/>
      <x:c r="K343" s="99"/>
      <x:c r="L343" s="99"/>
      <x:c r="M343" s="99"/>
      <x:c r="N343" s="99"/>
      <x:c r="O343" s="96" t="str">
        <x:f>IF(E343="","",IF(E343="Small",IF(OR(F343="",G343="",H343=""),"",IF(AND(F343="Yes",G343="Small",H343="Skip"),"Yes","No")),IF(OR(E343="Normal",E343="Large"),IF(OR(F343="",G343="",H343="",K343="",L343="",M343="",N343=""),"",IF(AND(F343="Yes",G343=E343,H343="Pick",K343="Yes",L343="No",M343=IF(E343="Normal","Normal_Bin","Large_Bin"),N343="Yes"),"Yes","No")),"")))</x:f>
      </x:c>
      <x:c r="P343" s="99"/>
      <x:c r="Q343" s="101"/>
      <x:c r="R343" s="102"/>
    </x:row>
    <x:row r="344">
      <x:c r="A344" s="97"/>
      <x:c r="B344" s="98"/>
      <x:c r="C344" s="97"/>
      <x:c r="D344" s="96" t="str">
        <x:f>IF(OR(A344="",B344="",E344=""),"","R"&amp;TEXT(A344,"00")&amp;"-"&amp;B344&amp;"-"&amp;LEFT(E344,1)&amp;IF(COUNTIFS($A$2:A344,A344,$B$2:B344,B344,$E$2:E344,E344)&gt;1,"-"&amp;COUNTIFS($A$2:A344,A344,$B$2:B344,B344,$E$2:E344,E344),""))</x:f>
      </x:c>
      <x:c r="E344" s="99"/>
      <x:c r="F344" s="99"/>
      <x:c r="G344" s="99"/>
      <x:c r="H344" s="99"/>
      <x:c r="I344" s="100"/>
      <x:c r="J344" s="99"/>
      <x:c r="K344" s="99"/>
      <x:c r="L344" s="99"/>
      <x:c r="M344" s="99"/>
      <x:c r="N344" s="99"/>
      <x:c r="O344" s="96" t="str">
        <x:f>IF(E344="","",IF(E344="Small",IF(OR(F344="",G344="",H344=""),"",IF(AND(F344="Yes",G344="Small",H344="Skip"),"Yes","No")),IF(OR(E344="Normal",E344="Large"),IF(OR(F344="",G344="",H344="",K344="",L344="",M344="",N344=""),"",IF(AND(F344="Yes",G344=E344,H344="Pick",K344="Yes",L344="No",M344=IF(E344="Normal","Normal_Bin","Large_Bin"),N344="Yes"),"Yes","No")),"")))</x:f>
      </x:c>
      <x:c r="P344" s="99"/>
      <x:c r="Q344" s="101"/>
      <x:c r="R344" s="102"/>
    </x:row>
    <x:row r="345">
      <x:c r="A345" s="97"/>
      <x:c r="B345" s="98"/>
      <x:c r="C345" s="97"/>
      <x:c r="D345" s="96" t="str">
        <x:f>IF(OR(A345="",B345="",E345=""),"","R"&amp;TEXT(A345,"00")&amp;"-"&amp;B345&amp;"-"&amp;LEFT(E345,1)&amp;IF(COUNTIFS($A$2:A345,A345,$B$2:B345,B345,$E$2:E345,E345)&gt;1,"-"&amp;COUNTIFS($A$2:A345,A345,$B$2:B345,B345,$E$2:E345,E345),""))</x:f>
      </x:c>
      <x:c r="E345" s="99"/>
      <x:c r="F345" s="99"/>
      <x:c r="G345" s="99"/>
      <x:c r="H345" s="99"/>
      <x:c r="I345" s="100"/>
      <x:c r="J345" s="99"/>
      <x:c r="K345" s="99"/>
      <x:c r="L345" s="99"/>
      <x:c r="M345" s="99"/>
      <x:c r="N345" s="99"/>
      <x:c r="O345" s="96" t="str">
        <x:f>IF(E345="","",IF(E345="Small",IF(OR(F345="",G345="",H345=""),"",IF(AND(F345="Yes",G345="Small",H345="Skip"),"Yes","No")),IF(OR(E345="Normal",E345="Large"),IF(OR(F345="",G345="",H345="",K345="",L345="",M345="",N345=""),"",IF(AND(F345="Yes",G345=E345,H345="Pick",K345="Yes",L345="No",M345=IF(E345="Normal","Normal_Bin","Large_Bin"),N345="Yes"),"Yes","No")),"")))</x:f>
      </x:c>
      <x:c r="P345" s="99"/>
      <x:c r="Q345" s="101"/>
      <x:c r="R345" s="102"/>
    </x:row>
    <x:row r="346">
      <x:c r="A346" s="97"/>
      <x:c r="B346" s="98"/>
      <x:c r="C346" s="97"/>
      <x:c r="D346" s="96" t="str">
        <x:f>IF(OR(A346="",B346="",E346=""),"","R"&amp;TEXT(A346,"00")&amp;"-"&amp;B346&amp;"-"&amp;LEFT(E346,1)&amp;IF(COUNTIFS($A$2:A346,A346,$B$2:B346,B346,$E$2:E346,E346)&gt;1,"-"&amp;COUNTIFS($A$2:A346,A346,$B$2:B346,B346,$E$2:E346,E346),""))</x:f>
      </x:c>
      <x:c r="E346" s="99"/>
      <x:c r="F346" s="99"/>
      <x:c r="G346" s="99"/>
      <x:c r="H346" s="99"/>
      <x:c r="I346" s="100"/>
      <x:c r="J346" s="99"/>
      <x:c r="K346" s="99"/>
      <x:c r="L346" s="99"/>
      <x:c r="M346" s="99"/>
      <x:c r="N346" s="99"/>
      <x:c r="O346" s="96" t="str">
        <x:f>IF(E346="","",IF(E346="Small",IF(OR(F346="",G346="",H346=""),"",IF(AND(F346="Yes",G346="Small",H346="Skip"),"Yes","No")),IF(OR(E346="Normal",E346="Large"),IF(OR(F346="",G346="",H346="",K346="",L346="",M346="",N346=""),"",IF(AND(F346="Yes",G346=E346,H346="Pick",K346="Yes",L346="No",M346=IF(E346="Normal","Normal_Bin","Large_Bin"),N346="Yes"),"Yes","No")),"")))</x:f>
      </x:c>
      <x:c r="P346" s="99"/>
      <x:c r="Q346" s="101"/>
      <x:c r="R346" s="102"/>
    </x:row>
    <x:row r="347">
      <x:c r="A347" s="97"/>
      <x:c r="B347" s="98"/>
      <x:c r="C347" s="97"/>
      <x:c r="D347" s="96" t="str">
        <x:f>IF(OR(A347="",B347="",E347=""),"","R"&amp;TEXT(A347,"00")&amp;"-"&amp;B347&amp;"-"&amp;LEFT(E347,1)&amp;IF(COUNTIFS($A$2:A347,A347,$B$2:B347,B347,$E$2:E347,E347)&gt;1,"-"&amp;COUNTIFS($A$2:A347,A347,$B$2:B347,B347,$E$2:E347,E347),""))</x:f>
      </x:c>
      <x:c r="E347" s="99"/>
      <x:c r="F347" s="99"/>
      <x:c r="G347" s="99"/>
      <x:c r="H347" s="99"/>
      <x:c r="I347" s="100"/>
      <x:c r="J347" s="99"/>
      <x:c r="K347" s="99"/>
      <x:c r="L347" s="99"/>
      <x:c r="M347" s="99"/>
      <x:c r="N347" s="99"/>
      <x:c r="O347" s="96" t="str">
        <x:f>IF(E347="","",IF(E347="Small",IF(OR(F347="",G347="",H347=""),"",IF(AND(F347="Yes",G347="Small",H347="Skip"),"Yes","No")),IF(OR(E347="Normal",E347="Large"),IF(OR(F347="",G347="",H347="",K347="",L347="",M347="",N347=""),"",IF(AND(F347="Yes",G347=E347,H347="Pick",K347="Yes",L347="No",M347=IF(E347="Normal","Normal_Bin","Large_Bin"),N347="Yes"),"Yes","No")),"")))</x:f>
      </x:c>
      <x:c r="P347" s="99"/>
      <x:c r="Q347" s="101"/>
      <x:c r="R347" s="102"/>
    </x:row>
    <x:row r="348">
      <x:c r="A348" s="97"/>
      <x:c r="B348" s="98"/>
      <x:c r="C348" s="97"/>
      <x:c r="D348" s="96" t="str">
        <x:f>IF(OR(A348="",B348="",E348=""),"","R"&amp;TEXT(A348,"00")&amp;"-"&amp;B348&amp;"-"&amp;LEFT(E348,1)&amp;IF(COUNTIFS($A$2:A348,A348,$B$2:B348,B348,$E$2:E348,E348)&gt;1,"-"&amp;COUNTIFS($A$2:A348,A348,$B$2:B348,B348,$E$2:E348,E348),""))</x:f>
      </x:c>
      <x:c r="E348" s="99"/>
      <x:c r="F348" s="99"/>
      <x:c r="G348" s="99"/>
      <x:c r="H348" s="99"/>
      <x:c r="I348" s="100"/>
      <x:c r="J348" s="99"/>
      <x:c r="K348" s="99"/>
      <x:c r="L348" s="99"/>
      <x:c r="M348" s="99"/>
      <x:c r="N348" s="99"/>
      <x:c r="O348" s="96" t="str">
        <x:f>IF(E348="","",IF(E348="Small",IF(OR(F348="",G348="",H348=""),"",IF(AND(F348="Yes",G348="Small",H348="Skip"),"Yes","No")),IF(OR(E348="Normal",E348="Large"),IF(OR(F348="",G348="",H348="",K348="",L348="",M348="",N348=""),"",IF(AND(F348="Yes",G348=E348,H348="Pick",K348="Yes",L348="No",M348=IF(E348="Normal","Normal_Bin","Large_Bin"),N348="Yes"),"Yes","No")),"")))</x:f>
      </x:c>
      <x:c r="P348" s="99"/>
      <x:c r="Q348" s="101"/>
      <x:c r="R348" s="102"/>
    </x:row>
    <x:row r="349">
      <x:c r="A349" s="97"/>
      <x:c r="B349" s="98"/>
      <x:c r="C349" s="97"/>
      <x:c r="D349" s="96" t="str">
        <x:f>IF(OR(A349="",B349="",E349=""),"","R"&amp;TEXT(A349,"00")&amp;"-"&amp;B349&amp;"-"&amp;LEFT(E349,1)&amp;IF(COUNTIFS($A$2:A349,A349,$B$2:B349,B349,$E$2:E349,E349)&gt;1,"-"&amp;COUNTIFS($A$2:A349,A349,$B$2:B349,B349,$E$2:E349,E349),""))</x:f>
      </x:c>
      <x:c r="E349" s="99"/>
      <x:c r="F349" s="99"/>
      <x:c r="G349" s="99"/>
      <x:c r="H349" s="99"/>
      <x:c r="I349" s="100"/>
      <x:c r="J349" s="99"/>
      <x:c r="K349" s="99"/>
      <x:c r="L349" s="99"/>
      <x:c r="M349" s="99"/>
      <x:c r="N349" s="99"/>
      <x:c r="O349" s="96" t="str">
        <x:f>IF(E349="","",IF(E349="Small",IF(OR(F349="",G349="",H349=""),"",IF(AND(F349="Yes",G349="Small",H349="Skip"),"Yes","No")),IF(OR(E349="Normal",E349="Large"),IF(OR(F349="",G349="",H349="",K349="",L349="",M349="",N349=""),"",IF(AND(F349="Yes",G349=E349,H349="Pick",K349="Yes",L349="No",M349=IF(E349="Normal","Normal_Bin","Large_Bin"),N349="Yes"),"Yes","No")),"")))</x:f>
      </x:c>
      <x:c r="P349" s="99"/>
      <x:c r="Q349" s="101"/>
      <x:c r="R349" s="102"/>
    </x:row>
    <x:row r="350">
      <x:c r="A350" s="97"/>
      <x:c r="B350" s="98"/>
      <x:c r="C350" s="97"/>
      <x:c r="D350" s="96" t="str">
        <x:f>IF(OR(A350="",B350="",E350=""),"","R"&amp;TEXT(A350,"00")&amp;"-"&amp;B350&amp;"-"&amp;LEFT(E350,1)&amp;IF(COUNTIFS($A$2:A350,A350,$B$2:B350,B350,$E$2:E350,E350)&gt;1,"-"&amp;COUNTIFS($A$2:A350,A350,$B$2:B350,B350,$E$2:E350,E350),""))</x:f>
      </x:c>
      <x:c r="E350" s="99"/>
      <x:c r="F350" s="99"/>
      <x:c r="G350" s="99"/>
      <x:c r="H350" s="99"/>
      <x:c r="I350" s="100"/>
      <x:c r="J350" s="99"/>
      <x:c r="K350" s="99"/>
      <x:c r="L350" s="99"/>
      <x:c r="M350" s="99"/>
      <x:c r="N350" s="99"/>
      <x:c r="O350" s="96" t="str">
        <x:f>IF(E350="","",IF(E350="Small",IF(OR(F350="",G350="",H350=""),"",IF(AND(F350="Yes",G350="Small",H350="Skip"),"Yes","No")),IF(OR(E350="Normal",E350="Large"),IF(OR(F350="",G350="",H350="",K350="",L350="",M350="",N350=""),"",IF(AND(F350="Yes",G350=E350,H350="Pick",K350="Yes",L350="No",M350=IF(E350="Normal","Normal_Bin","Large_Bin"),N350="Yes"),"Yes","No")),"")))</x:f>
      </x:c>
      <x:c r="P350" s="99"/>
      <x:c r="Q350" s="101"/>
      <x:c r="R350" s="102"/>
    </x:row>
    <x:row r="351">
      <x:c r="A351" s="97"/>
      <x:c r="B351" s="98"/>
      <x:c r="C351" s="97"/>
      <x:c r="D351" s="96" t="str">
        <x:f>IF(OR(A351="",B351="",E351=""),"","R"&amp;TEXT(A351,"00")&amp;"-"&amp;B351&amp;"-"&amp;LEFT(E351,1)&amp;IF(COUNTIFS($A$2:A351,A351,$B$2:B351,B351,$E$2:E351,E351)&gt;1,"-"&amp;COUNTIFS($A$2:A351,A351,$B$2:B351,B351,$E$2:E351,E351),""))</x:f>
      </x:c>
      <x:c r="E351" s="99"/>
      <x:c r="F351" s="99"/>
      <x:c r="G351" s="99"/>
      <x:c r="H351" s="99"/>
      <x:c r="I351" s="100"/>
      <x:c r="J351" s="99"/>
      <x:c r="K351" s="99"/>
      <x:c r="L351" s="99"/>
      <x:c r="M351" s="99"/>
      <x:c r="N351" s="99"/>
      <x:c r="O351" s="96" t="str">
        <x:f>IF(E351="","",IF(E351="Small",IF(OR(F351="",G351="",H351=""),"",IF(AND(F351="Yes",G351="Small",H351="Skip"),"Yes","No")),IF(OR(E351="Normal",E351="Large"),IF(OR(F351="",G351="",H351="",K351="",L351="",M351="",N351=""),"",IF(AND(F351="Yes",G351=E351,H351="Pick",K351="Yes",L351="No",M351=IF(E351="Normal","Normal_Bin","Large_Bin"),N351="Yes"),"Yes","No")),"")))</x:f>
      </x:c>
      <x:c r="P351" s="99"/>
      <x:c r="Q351" s="101"/>
      <x:c r="R351" s="102"/>
    </x:row>
    <x:row r="352">
      <x:c r="A352" s="97"/>
      <x:c r="B352" s="98"/>
      <x:c r="C352" s="97"/>
      <x:c r="D352" s="96" t="str">
        <x:f>IF(OR(A352="",B352="",E352=""),"","R"&amp;TEXT(A352,"00")&amp;"-"&amp;B352&amp;"-"&amp;LEFT(E352,1)&amp;IF(COUNTIFS($A$2:A352,A352,$B$2:B352,B352,$E$2:E352,E352)&gt;1,"-"&amp;COUNTIFS($A$2:A352,A352,$B$2:B352,B352,$E$2:E352,E352),""))</x:f>
      </x:c>
      <x:c r="E352" s="99"/>
      <x:c r="F352" s="99"/>
      <x:c r="G352" s="99"/>
      <x:c r="H352" s="99"/>
      <x:c r="I352" s="100"/>
      <x:c r="J352" s="99"/>
      <x:c r="K352" s="99"/>
      <x:c r="L352" s="99"/>
      <x:c r="M352" s="99"/>
      <x:c r="N352" s="99"/>
      <x:c r="O352" s="96" t="str">
        <x:f>IF(E352="","",IF(E352="Small",IF(OR(F352="",G352="",H352=""),"",IF(AND(F352="Yes",G352="Small",H352="Skip"),"Yes","No")),IF(OR(E352="Normal",E352="Large"),IF(OR(F352="",G352="",H352="",K352="",L352="",M352="",N352=""),"",IF(AND(F352="Yes",G352=E352,H352="Pick",K352="Yes",L352="No",M352=IF(E352="Normal","Normal_Bin","Large_Bin"),N352="Yes"),"Yes","No")),"")))</x:f>
      </x:c>
      <x:c r="P352" s="99"/>
      <x:c r="Q352" s="101"/>
      <x:c r="R352" s="102"/>
    </x:row>
    <x:row r="353">
      <x:c r="A353" s="97"/>
      <x:c r="B353" s="98"/>
      <x:c r="C353" s="97"/>
      <x:c r="D353" s="96" t="str">
        <x:f>IF(OR(A353="",B353="",E353=""),"","R"&amp;TEXT(A353,"00")&amp;"-"&amp;B353&amp;"-"&amp;LEFT(E353,1)&amp;IF(COUNTIFS($A$2:A353,A353,$B$2:B353,B353,$E$2:E353,E353)&gt;1,"-"&amp;COUNTIFS($A$2:A353,A353,$B$2:B353,B353,$E$2:E353,E353),""))</x:f>
      </x:c>
      <x:c r="E353" s="99"/>
      <x:c r="F353" s="99"/>
      <x:c r="G353" s="99"/>
      <x:c r="H353" s="99"/>
      <x:c r="I353" s="100"/>
      <x:c r="J353" s="99"/>
      <x:c r="K353" s="99"/>
      <x:c r="L353" s="99"/>
      <x:c r="M353" s="99"/>
      <x:c r="N353" s="99"/>
      <x:c r="O353" s="96" t="str">
        <x:f>IF(E353="","",IF(E353="Small",IF(OR(F353="",G353="",H353=""),"",IF(AND(F353="Yes",G353="Small",H353="Skip"),"Yes","No")),IF(OR(E353="Normal",E353="Large"),IF(OR(F353="",G353="",H353="",K353="",L353="",M353="",N353=""),"",IF(AND(F353="Yes",G353=E353,H353="Pick",K353="Yes",L353="No",M353=IF(E353="Normal","Normal_Bin","Large_Bin"),N353="Yes"),"Yes","No")),"")))</x:f>
      </x:c>
      <x:c r="P353" s="99"/>
      <x:c r="Q353" s="101"/>
      <x:c r="R353" s="102"/>
    </x:row>
    <x:row r="354">
      <x:c r="A354" s="97"/>
      <x:c r="B354" s="98"/>
      <x:c r="C354" s="97"/>
      <x:c r="D354" s="96" t="str">
        <x:f>IF(OR(A354="",B354="",E354=""),"","R"&amp;TEXT(A354,"00")&amp;"-"&amp;B354&amp;"-"&amp;LEFT(E354,1)&amp;IF(COUNTIFS($A$2:A354,A354,$B$2:B354,B354,$E$2:E354,E354)&gt;1,"-"&amp;COUNTIFS($A$2:A354,A354,$B$2:B354,B354,$E$2:E354,E354),""))</x:f>
      </x:c>
      <x:c r="E354" s="99"/>
      <x:c r="F354" s="99"/>
      <x:c r="G354" s="99"/>
      <x:c r="H354" s="99"/>
      <x:c r="I354" s="100"/>
      <x:c r="J354" s="99"/>
      <x:c r="K354" s="99"/>
      <x:c r="L354" s="99"/>
      <x:c r="M354" s="99"/>
      <x:c r="N354" s="99"/>
      <x:c r="O354" s="96" t="str">
        <x:f>IF(E354="","",IF(E354="Small",IF(OR(F354="",G354="",H354=""),"",IF(AND(F354="Yes",G354="Small",H354="Skip"),"Yes","No")),IF(OR(E354="Normal",E354="Large"),IF(OR(F354="",G354="",H354="",K354="",L354="",M354="",N354=""),"",IF(AND(F354="Yes",G354=E354,H354="Pick",K354="Yes",L354="No",M354=IF(E354="Normal","Normal_Bin","Large_Bin"),N354="Yes"),"Yes","No")),"")))</x:f>
      </x:c>
      <x:c r="P354" s="99"/>
      <x:c r="Q354" s="101"/>
      <x:c r="R354" s="102"/>
    </x:row>
    <x:row r="355">
      <x:c r="A355" s="97"/>
      <x:c r="B355" s="98"/>
      <x:c r="C355" s="97"/>
      <x:c r="D355" s="96" t="str">
        <x:f>IF(OR(A355="",B355="",E355=""),"","R"&amp;TEXT(A355,"00")&amp;"-"&amp;B355&amp;"-"&amp;LEFT(E355,1)&amp;IF(COUNTIFS($A$2:A355,A355,$B$2:B355,B355,$E$2:E355,E355)&gt;1,"-"&amp;COUNTIFS($A$2:A355,A355,$B$2:B355,B355,$E$2:E355,E355),""))</x:f>
      </x:c>
      <x:c r="E355" s="99"/>
      <x:c r="F355" s="99"/>
      <x:c r="G355" s="99"/>
      <x:c r="H355" s="99"/>
      <x:c r="I355" s="100"/>
      <x:c r="J355" s="99"/>
      <x:c r="K355" s="99"/>
      <x:c r="L355" s="99"/>
      <x:c r="M355" s="99"/>
      <x:c r="N355" s="99"/>
      <x:c r="O355" s="96" t="str">
        <x:f>IF(E355="","",IF(E355="Small",IF(OR(F355="",G355="",H355=""),"",IF(AND(F355="Yes",G355="Small",H355="Skip"),"Yes","No")),IF(OR(E355="Normal",E355="Large"),IF(OR(F355="",G355="",H355="",K355="",L355="",M355="",N355=""),"",IF(AND(F355="Yes",G355=E355,H355="Pick",K355="Yes",L355="No",M355=IF(E355="Normal","Normal_Bin","Large_Bin"),N355="Yes"),"Yes","No")),"")))</x:f>
      </x:c>
      <x:c r="P355" s="99"/>
      <x:c r="Q355" s="101"/>
      <x:c r="R355" s="102"/>
    </x:row>
    <x:row r="356">
      <x:c r="A356" s="97"/>
      <x:c r="B356" s="98"/>
      <x:c r="C356" s="97"/>
      <x:c r="D356" s="96" t="str">
        <x:f>IF(OR(A356="",B356="",E356=""),"","R"&amp;TEXT(A356,"00")&amp;"-"&amp;B356&amp;"-"&amp;LEFT(E356,1)&amp;IF(COUNTIFS($A$2:A356,A356,$B$2:B356,B356,$E$2:E356,E356)&gt;1,"-"&amp;COUNTIFS($A$2:A356,A356,$B$2:B356,B356,$E$2:E356,E356),""))</x:f>
      </x:c>
      <x:c r="E356" s="99"/>
      <x:c r="F356" s="99"/>
      <x:c r="G356" s="99"/>
      <x:c r="H356" s="99"/>
      <x:c r="I356" s="100"/>
      <x:c r="J356" s="99"/>
      <x:c r="K356" s="99"/>
      <x:c r="L356" s="99"/>
      <x:c r="M356" s="99"/>
      <x:c r="N356" s="99"/>
      <x:c r="O356" s="96" t="str">
        <x:f>IF(E356="","",IF(E356="Small",IF(OR(F356="",G356="",H356=""),"",IF(AND(F356="Yes",G356="Small",H356="Skip"),"Yes","No")),IF(OR(E356="Normal",E356="Large"),IF(OR(F356="",G356="",H356="",K356="",L356="",M356="",N356=""),"",IF(AND(F356="Yes",G356=E356,H356="Pick",K356="Yes",L356="No",M356=IF(E356="Normal","Normal_Bin","Large_Bin"),N356="Yes"),"Yes","No")),"")))</x:f>
      </x:c>
      <x:c r="P356" s="99"/>
      <x:c r="Q356" s="101"/>
      <x:c r="R356" s="102"/>
    </x:row>
    <x:row r="357">
      <x:c r="A357" s="97"/>
      <x:c r="B357" s="98"/>
      <x:c r="C357" s="97"/>
      <x:c r="D357" s="96" t="str">
        <x:f>IF(OR(A357="",B357="",E357=""),"","R"&amp;TEXT(A357,"00")&amp;"-"&amp;B357&amp;"-"&amp;LEFT(E357,1)&amp;IF(COUNTIFS($A$2:A357,A357,$B$2:B357,B357,$E$2:E357,E357)&gt;1,"-"&amp;COUNTIFS($A$2:A357,A357,$B$2:B357,B357,$E$2:E357,E357),""))</x:f>
      </x:c>
      <x:c r="E357" s="99"/>
      <x:c r="F357" s="99"/>
      <x:c r="G357" s="99"/>
      <x:c r="H357" s="99"/>
      <x:c r="I357" s="100"/>
      <x:c r="J357" s="99"/>
      <x:c r="K357" s="99"/>
      <x:c r="L357" s="99"/>
      <x:c r="M357" s="99"/>
      <x:c r="N357" s="99"/>
      <x:c r="O357" s="96" t="str">
        <x:f>IF(E357="","",IF(E357="Small",IF(OR(F357="",G357="",H357=""),"",IF(AND(F357="Yes",G357="Small",H357="Skip"),"Yes","No")),IF(OR(E357="Normal",E357="Large"),IF(OR(F357="",G357="",H357="",K357="",L357="",M357="",N357=""),"",IF(AND(F357="Yes",G357=E357,H357="Pick",K357="Yes",L357="No",M357=IF(E357="Normal","Normal_Bin","Large_Bin"),N357="Yes"),"Yes","No")),"")))</x:f>
      </x:c>
      <x:c r="P357" s="99"/>
      <x:c r="Q357" s="101"/>
      <x:c r="R357" s="102"/>
    </x:row>
    <x:row r="358">
      <x:c r="A358" s="97"/>
      <x:c r="B358" s="98"/>
      <x:c r="C358" s="97"/>
      <x:c r="D358" s="96" t="str">
        <x:f>IF(OR(A358="",B358="",E358=""),"","R"&amp;TEXT(A358,"00")&amp;"-"&amp;B358&amp;"-"&amp;LEFT(E358,1)&amp;IF(COUNTIFS($A$2:A358,A358,$B$2:B358,B358,$E$2:E358,E358)&gt;1,"-"&amp;COUNTIFS($A$2:A358,A358,$B$2:B358,B358,$E$2:E358,E358),""))</x:f>
      </x:c>
      <x:c r="E358" s="99"/>
      <x:c r="F358" s="99"/>
      <x:c r="G358" s="99"/>
      <x:c r="H358" s="99"/>
      <x:c r="I358" s="100"/>
      <x:c r="J358" s="99"/>
      <x:c r="K358" s="99"/>
      <x:c r="L358" s="99"/>
      <x:c r="M358" s="99"/>
      <x:c r="N358" s="99"/>
      <x:c r="O358" s="96" t="str">
        <x:f>IF(E358="","",IF(E358="Small",IF(OR(F358="",G358="",H358=""),"",IF(AND(F358="Yes",G358="Small",H358="Skip"),"Yes","No")),IF(OR(E358="Normal",E358="Large"),IF(OR(F358="",G358="",H358="",K358="",L358="",M358="",N358=""),"",IF(AND(F358="Yes",G358=E358,H358="Pick",K358="Yes",L358="No",M358=IF(E358="Normal","Normal_Bin","Large_Bin"),N358="Yes"),"Yes","No")),"")))</x:f>
      </x:c>
      <x:c r="P358" s="99"/>
      <x:c r="Q358" s="101"/>
      <x:c r="R358" s="102"/>
    </x:row>
    <x:row r="359">
      <x:c r="A359" s="97"/>
      <x:c r="B359" s="98"/>
      <x:c r="C359" s="97"/>
      <x:c r="D359" s="96" t="str">
        <x:f>IF(OR(A359="",B359="",E359=""),"","R"&amp;TEXT(A359,"00")&amp;"-"&amp;B359&amp;"-"&amp;LEFT(E359,1)&amp;IF(COUNTIFS($A$2:A359,A359,$B$2:B359,B359,$E$2:E359,E359)&gt;1,"-"&amp;COUNTIFS($A$2:A359,A359,$B$2:B359,B359,$E$2:E359,E359),""))</x:f>
      </x:c>
      <x:c r="E359" s="99"/>
      <x:c r="F359" s="99"/>
      <x:c r="G359" s="99"/>
      <x:c r="H359" s="99"/>
      <x:c r="I359" s="100"/>
      <x:c r="J359" s="99"/>
      <x:c r="K359" s="99"/>
      <x:c r="L359" s="99"/>
      <x:c r="M359" s="99"/>
      <x:c r="N359" s="99"/>
      <x:c r="O359" s="96" t="str">
        <x:f>IF(E359="","",IF(E359="Small",IF(OR(F359="",G359="",H359=""),"",IF(AND(F359="Yes",G359="Small",H359="Skip"),"Yes","No")),IF(OR(E359="Normal",E359="Large"),IF(OR(F359="",G359="",H359="",K359="",L359="",M359="",N359=""),"",IF(AND(F359="Yes",G359=E359,H359="Pick",K359="Yes",L359="No",M359=IF(E359="Normal","Normal_Bin","Large_Bin"),N359="Yes"),"Yes","No")),"")))</x:f>
      </x:c>
      <x:c r="P359" s="99"/>
      <x:c r="Q359" s="101"/>
      <x:c r="R359" s="102"/>
    </x:row>
    <x:row r="360">
      <x:c r="A360" s="97"/>
      <x:c r="B360" s="98"/>
      <x:c r="C360" s="97"/>
      <x:c r="D360" s="96" t="str">
        <x:f>IF(OR(A360="",B360="",E360=""),"","R"&amp;TEXT(A360,"00")&amp;"-"&amp;B360&amp;"-"&amp;LEFT(E360,1)&amp;IF(COUNTIFS($A$2:A360,A360,$B$2:B360,B360,$E$2:E360,E360)&gt;1,"-"&amp;COUNTIFS($A$2:A360,A360,$B$2:B360,B360,$E$2:E360,E360),""))</x:f>
      </x:c>
      <x:c r="E360" s="99"/>
      <x:c r="F360" s="99"/>
      <x:c r="G360" s="99"/>
      <x:c r="H360" s="99"/>
      <x:c r="I360" s="100"/>
      <x:c r="J360" s="99"/>
      <x:c r="K360" s="99"/>
      <x:c r="L360" s="99"/>
      <x:c r="M360" s="99"/>
      <x:c r="N360" s="99"/>
      <x:c r="O360" s="96" t="str">
        <x:f>IF(E360="","",IF(E360="Small",IF(OR(F360="",G360="",H360=""),"",IF(AND(F360="Yes",G360="Small",H360="Skip"),"Yes","No")),IF(OR(E360="Normal",E360="Large"),IF(OR(F360="",G360="",H360="",K360="",L360="",M360="",N360=""),"",IF(AND(F360="Yes",G360=E360,H360="Pick",K360="Yes",L360="No",M360=IF(E360="Normal","Normal_Bin","Large_Bin"),N360="Yes"),"Yes","No")),"")))</x:f>
      </x:c>
      <x:c r="P360" s="99"/>
      <x:c r="Q360" s="101"/>
      <x:c r="R360" s="102"/>
    </x:row>
    <x:row r="361">
      <x:c r="A361" s="97"/>
      <x:c r="B361" s="98"/>
      <x:c r="C361" s="97"/>
      <x:c r="D361" s="96" t="str">
        <x:f>IF(OR(A361="",B361="",E361=""),"","R"&amp;TEXT(A361,"00")&amp;"-"&amp;B361&amp;"-"&amp;LEFT(E361,1)&amp;IF(COUNTIFS($A$2:A361,A361,$B$2:B361,B361,$E$2:E361,E361)&gt;1,"-"&amp;COUNTIFS($A$2:A361,A361,$B$2:B361,B361,$E$2:E361,E361),""))</x:f>
      </x:c>
      <x:c r="E361" s="99"/>
      <x:c r="F361" s="99"/>
      <x:c r="G361" s="99"/>
      <x:c r="H361" s="99"/>
      <x:c r="I361" s="100"/>
      <x:c r="J361" s="99"/>
      <x:c r="K361" s="99"/>
      <x:c r="L361" s="99"/>
      <x:c r="M361" s="99"/>
      <x:c r="N361" s="99"/>
      <x:c r="O361" s="96" t="str">
        <x:f>IF(E361="","",IF(E361="Small",IF(OR(F361="",G361="",H361=""),"",IF(AND(F361="Yes",G361="Small",H361="Skip"),"Yes","No")),IF(OR(E361="Normal",E361="Large"),IF(OR(F361="",G361="",H361="",K361="",L361="",M361="",N361=""),"",IF(AND(F361="Yes",G361=E361,H361="Pick",K361="Yes",L361="No",M361=IF(E361="Normal","Normal_Bin","Large_Bin"),N361="Yes"),"Yes","No")),"")))</x:f>
      </x:c>
      <x:c r="P361" s="99"/>
      <x:c r="Q361" s="101"/>
      <x:c r="R361" s="102"/>
    </x:row>
    <x:row r="362">
      <x:c r="A362" s="97"/>
      <x:c r="B362" s="98"/>
      <x:c r="C362" s="97"/>
      <x:c r="D362" s="96" t="str">
        <x:f>IF(OR(A362="",B362="",E362=""),"","R"&amp;TEXT(A362,"00")&amp;"-"&amp;B362&amp;"-"&amp;LEFT(E362,1)&amp;IF(COUNTIFS($A$2:A362,A362,$B$2:B362,B362,$E$2:E362,E362)&gt;1,"-"&amp;COUNTIFS($A$2:A362,A362,$B$2:B362,B362,$E$2:E362,E362),""))</x:f>
      </x:c>
      <x:c r="E362" s="99"/>
      <x:c r="F362" s="99"/>
      <x:c r="G362" s="99"/>
      <x:c r="H362" s="99"/>
      <x:c r="I362" s="100"/>
      <x:c r="J362" s="99"/>
      <x:c r="K362" s="99"/>
      <x:c r="L362" s="99"/>
      <x:c r="M362" s="99"/>
      <x:c r="N362" s="99"/>
      <x:c r="O362" s="96" t="str">
        <x:f>IF(E362="","",IF(E362="Small",IF(OR(F362="",G362="",H362=""),"",IF(AND(F362="Yes",G362="Small",H362="Skip"),"Yes","No")),IF(OR(E362="Normal",E362="Large"),IF(OR(F362="",G362="",H362="",K362="",L362="",M362="",N362=""),"",IF(AND(F362="Yes",G362=E362,H362="Pick",K362="Yes",L362="No",M362=IF(E362="Normal","Normal_Bin","Large_Bin"),N362="Yes"),"Yes","No")),"")))</x:f>
      </x:c>
      <x:c r="P362" s="99"/>
      <x:c r="Q362" s="101"/>
      <x:c r="R362" s="102"/>
    </x:row>
    <x:row r="363">
      <x:c r="A363" s="97"/>
      <x:c r="B363" s="98"/>
      <x:c r="C363" s="97"/>
      <x:c r="D363" s="96" t="str">
        <x:f>IF(OR(A363="",B363="",E363=""),"","R"&amp;TEXT(A363,"00")&amp;"-"&amp;B363&amp;"-"&amp;LEFT(E363,1)&amp;IF(COUNTIFS($A$2:A363,A363,$B$2:B363,B363,$E$2:E363,E363)&gt;1,"-"&amp;COUNTIFS($A$2:A363,A363,$B$2:B363,B363,$E$2:E363,E363),""))</x:f>
      </x:c>
      <x:c r="E363" s="99"/>
      <x:c r="F363" s="99"/>
      <x:c r="G363" s="99"/>
      <x:c r="H363" s="99"/>
      <x:c r="I363" s="100"/>
      <x:c r="J363" s="99"/>
      <x:c r="K363" s="99"/>
      <x:c r="L363" s="99"/>
      <x:c r="M363" s="99"/>
      <x:c r="N363" s="99"/>
      <x:c r="O363" s="96" t="str">
        <x:f>IF(E363="","",IF(E363="Small",IF(OR(F363="",G363="",H363=""),"",IF(AND(F363="Yes",G363="Small",H363="Skip"),"Yes","No")),IF(OR(E363="Normal",E363="Large"),IF(OR(F363="",G363="",H363="",K363="",L363="",M363="",N363=""),"",IF(AND(F363="Yes",G363=E363,H363="Pick",K363="Yes",L363="No",M363=IF(E363="Normal","Normal_Bin","Large_Bin"),N363="Yes"),"Yes","No")),"")))</x:f>
      </x:c>
      <x:c r="P363" s="99"/>
      <x:c r="Q363" s="101"/>
      <x:c r="R363" s="102"/>
    </x:row>
    <x:row r="364">
      <x:c r="A364" s="97"/>
      <x:c r="B364" s="98"/>
      <x:c r="C364" s="97"/>
      <x:c r="D364" s="96" t="str">
        <x:f>IF(OR(A364="",B364="",E364=""),"","R"&amp;TEXT(A364,"00")&amp;"-"&amp;B364&amp;"-"&amp;LEFT(E364,1)&amp;IF(COUNTIFS($A$2:A364,A364,$B$2:B364,B364,$E$2:E364,E364)&gt;1,"-"&amp;COUNTIFS($A$2:A364,A364,$B$2:B364,B364,$E$2:E364,E364),""))</x:f>
      </x:c>
      <x:c r="E364" s="99"/>
      <x:c r="F364" s="99"/>
      <x:c r="G364" s="99"/>
      <x:c r="H364" s="99"/>
      <x:c r="I364" s="100"/>
      <x:c r="J364" s="99"/>
      <x:c r="K364" s="99"/>
      <x:c r="L364" s="99"/>
      <x:c r="M364" s="99"/>
      <x:c r="N364" s="99"/>
      <x:c r="O364" s="96" t="str">
        <x:f>IF(E364="","",IF(E364="Small",IF(OR(F364="",G364="",H364=""),"",IF(AND(F364="Yes",G364="Small",H364="Skip"),"Yes","No")),IF(OR(E364="Normal",E364="Large"),IF(OR(F364="",G364="",H364="",K364="",L364="",M364="",N364=""),"",IF(AND(F364="Yes",G364=E364,H364="Pick",K364="Yes",L364="No",M364=IF(E364="Normal","Normal_Bin","Large_Bin"),N364="Yes"),"Yes","No")),"")))</x:f>
      </x:c>
      <x:c r="P364" s="99"/>
      <x:c r="Q364" s="101"/>
      <x:c r="R364" s="102"/>
    </x:row>
    <x:row r="365">
      <x:c r="A365" s="97"/>
      <x:c r="B365" s="98"/>
      <x:c r="C365" s="97"/>
      <x:c r="D365" s="96" t="str">
        <x:f>IF(OR(A365="",B365="",E365=""),"","R"&amp;TEXT(A365,"00")&amp;"-"&amp;B365&amp;"-"&amp;LEFT(E365,1)&amp;IF(COUNTIFS($A$2:A365,A365,$B$2:B365,B365,$E$2:E365,E365)&gt;1,"-"&amp;COUNTIFS($A$2:A365,A365,$B$2:B365,B365,$E$2:E365,E365),""))</x:f>
      </x:c>
      <x:c r="E365" s="99"/>
      <x:c r="F365" s="99"/>
      <x:c r="G365" s="99"/>
      <x:c r="H365" s="99"/>
      <x:c r="I365" s="100"/>
      <x:c r="J365" s="99"/>
      <x:c r="K365" s="99"/>
      <x:c r="L365" s="99"/>
      <x:c r="M365" s="99"/>
      <x:c r="N365" s="99"/>
      <x:c r="O365" s="96" t="str">
        <x:f>IF(E365="","",IF(E365="Small",IF(OR(F365="",G365="",H365=""),"",IF(AND(F365="Yes",G365="Small",H365="Skip"),"Yes","No")),IF(OR(E365="Normal",E365="Large"),IF(OR(F365="",G365="",H365="",K365="",L365="",M365="",N365=""),"",IF(AND(F365="Yes",G365=E365,H365="Pick",K365="Yes",L365="No",M365=IF(E365="Normal","Normal_Bin","Large_Bin"),N365="Yes"),"Yes","No")),"")))</x:f>
      </x:c>
      <x:c r="P365" s="99"/>
      <x:c r="Q365" s="101"/>
      <x:c r="R365" s="102"/>
    </x:row>
    <x:row r="366">
      <x:c r="A366" s="97"/>
      <x:c r="B366" s="98"/>
      <x:c r="C366" s="97"/>
      <x:c r="D366" s="96" t="str">
        <x:f>IF(OR(A366="",B366="",E366=""),"","R"&amp;TEXT(A366,"00")&amp;"-"&amp;B366&amp;"-"&amp;LEFT(E366,1)&amp;IF(COUNTIFS($A$2:A366,A366,$B$2:B366,B366,$E$2:E366,E366)&gt;1,"-"&amp;COUNTIFS($A$2:A366,A366,$B$2:B366,B366,$E$2:E366,E366),""))</x:f>
      </x:c>
      <x:c r="E366" s="99"/>
      <x:c r="F366" s="99"/>
      <x:c r="G366" s="99"/>
      <x:c r="H366" s="99"/>
      <x:c r="I366" s="100"/>
      <x:c r="J366" s="99"/>
      <x:c r="K366" s="99"/>
      <x:c r="L366" s="99"/>
      <x:c r="M366" s="99"/>
      <x:c r="N366" s="99"/>
      <x:c r="O366" s="96" t="str">
        <x:f>IF(E366="","",IF(E366="Small",IF(OR(F366="",G366="",H366=""),"",IF(AND(F366="Yes",G366="Small",H366="Skip"),"Yes","No")),IF(OR(E366="Normal",E366="Large"),IF(OR(F366="",G366="",H366="",K366="",L366="",M366="",N366=""),"",IF(AND(F366="Yes",G366=E366,H366="Pick",K366="Yes",L366="No",M366=IF(E366="Normal","Normal_Bin","Large_Bin"),N366="Yes"),"Yes","No")),"")))</x:f>
      </x:c>
      <x:c r="P366" s="99"/>
      <x:c r="Q366" s="101"/>
      <x:c r="R366" s="102"/>
    </x:row>
    <x:row r="367">
      <x:c r="A367" s="97"/>
      <x:c r="B367" s="98"/>
      <x:c r="C367" s="97"/>
      <x:c r="D367" s="96" t="str">
        <x:f>IF(OR(A367="",B367="",E367=""),"","R"&amp;TEXT(A367,"00")&amp;"-"&amp;B367&amp;"-"&amp;LEFT(E367,1)&amp;IF(COUNTIFS($A$2:A367,A367,$B$2:B367,B367,$E$2:E367,E367)&gt;1,"-"&amp;COUNTIFS($A$2:A367,A367,$B$2:B367,B367,$E$2:E367,E367),""))</x:f>
      </x:c>
      <x:c r="E367" s="99"/>
      <x:c r="F367" s="99"/>
      <x:c r="G367" s="99"/>
      <x:c r="H367" s="99"/>
      <x:c r="I367" s="100"/>
      <x:c r="J367" s="99"/>
      <x:c r="K367" s="99"/>
      <x:c r="L367" s="99"/>
      <x:c r="M367" s="99"/>
      <x:c r="N367" s="99"/>
      <x:c r="O367" s="96" t="str">
        <x:f>IF(E367="","",IF(E367="Small",IF(OR(F367="",G367="",H367=""),"",IF(AND(F367="Yes",G367="Small",H367="Skip"),"Yes","No")),IF(OR(E367="Normal",E367="Large"),IF(OR(F367="",G367="",H367="",K367="",L367="",M367="",N367=""),"",IF(AND(F367="Yes",G367=E367,H367="Pick",K367="Yes",L367="No",M367=IF(E367="Normal","Normal_Bin","Large_Bin"),N367="Yes"),"Yes","No")),"")))</x:f>
      </x:c>
      <x:c r="P367" s="99"/>
      <x:c r="Q367" s="101"/>
      <x:c r="R367" s="102"/>
    </x:row>
    <x:row r="368">
      <x:c r="A368" s="97"/>
      <x:c r="B368" s="98"/>
      <x:c r="C368" s="97"/>
      <x:c r="D368" s="96" t="str">
        <x:f>IF(OR(A368="",B368="",E368=""),"","R"&amp;TEXT(A368,"00")&amp;"-"&amp;B368&amp;"-"&amp;LEFT(E368,1)&amp;IF(COUNTIFS($A$2:A368,A368,$B$2:B368,B368,$E$2:E368,E368)&gt;1,"-"&amp;COUNTIFS($A$2:A368,A368,$B$2:B368,B368,$E$2:E368,E368),""))</x:f>
      </x:c>
      <x:c r="E368" s="99"/>
      <x:c r="F368" s="99"/>
      <x:c r="G368" s="99"/>
      <x:c r="H368" s="99"/>
      <x:c r="I368" s="100"/>
      <x:c r="J368" s="99"/>
      <x:c r="K368" s="99"/>
      <x:c r="L368" s="99"/>
      <x:c r="M368" s="99"/>
      <x:c r="N368" s="99"/>
      <x:c r="O368" s="96" t="str">
        <x:f>IF(E368="","",IF(E368="Small",IF(OR(F368="",G368="",H368=""),"",IF(AND(F368="Yes",G368="Small",H368="Skip"),"Yes","No")),IF(OR(E368="Normal",E368="Large"),IF(OR(F368="",G368="",H368="",K368="",L368="",M368="",N368=""),"",IF(AND(F368="Yes",G368=E368,H368="Pick",K368="Yes",L368="No",M368=IF(E368="Normal","Normal_Bin","Large_Bin"),N368="Yes"),"Yes","No")),"")))</x:f>
      </x:c>
      <x:c r="P368" s="99"/>
      <x:c r="Q368" s="101"/>
      <x:c r="R368" s="102"/>
    </x:row>
    <x:row r="369">
      <x:c r="A369" s="97"/>
      <x:c r="B369" s="98"/>
      <x:c r="C369" s="97"/>
      <x:c r="D369" s="96" t="str">
        <x:f>IF(OR(A369="",B369="",E369=""),"","R"&amp;TEXT(A369,"00")&amp;"-"&amp;B369&amp;"-"&amp;LEFT(E369,1)&amp;IF(COUNTIFS($A$2:A369,A369,$B$2:B369,B369,$E$2:E369,E369)&gt;1,"-"&amp;COUNTIFS($A$2:A369,A369,$B$2:B369,B369,$E$2:E369,E369),""))</x:f>
      </x:c>
      <x:c r="E369" s="99"/>
      <x:c r="F369" s="99"/>
      <x:c r="G369" s="99"/>
      <x:c r="H369" s="99"/>
      <x:c r="I369" s="100"/>
      <x:c r="J369" s="99"/>
      <x:c r="K369" s="99"/>
      <x:c r="L369" s="99"/>
      <x:c r="M369" s="99"/>
      <x:c r="N369" s="99"/>
      <x:c r="O369" s="96" t="str">
        <x:f>IF(E369="","",IF(E369="Small",IF(OR(F369="",G369="",H369=""),"",IF(AND(F369="Yes",G369="Small",H369="Skip"),"Yes","No")),IF(OR(E369="Normal",E369="Large"),IF(OR(F369="",G369="",H369="",K369="",L369="",M369="",N369=""),"",IF(AND(F369="Yes",G369=E369,H369="Pick",K369="Yes",L369="No",M369=IF(E369="Normal","Normal_Bin","Large_Bin"),N369="Yes"),"Yes","No")),"")))</x:f>
      </x:c>
      <x:c r="P369" s="99"/>
      <x:c r="Q369" s="101"/>
      <x:c r="R369" s="102"/>
    </x:row>
    <x:row r="370">
      <x:c r="A370" s="97"/>
      <x:c r="B370" s="98"/>
      <x:c r="C370" s="97"/>
      <x:c r="D370" s="96" t="str">
        <x:f>IF(OR(A370="",B370="",E370=""),"","R"&amp;TEXT(A370,"00")&amp;"-"&amp;B370&amp;"-"&amp;LEFT(E370,1)&amp;IF(COUNTIFS($A$2:A370,A370,$B$2:B370,B370,$E$2:E370,E370)&gt;1,"-"&amp;COUNTIFS($A$2:A370,A370,$B$2:B370,B370,$E$2:E370,E370),""))</x:f>
      </x:c>
      <x:c r="E370" s="99"/>
      <x:c r="F370" s="99"/>
      <x:c r="G370" s="99"/>
      <x:c r="H370" s="99"/>
      <x:c r="I370" s="100"/>
      <x:c r="J370" s="99"/>
      <x:c r="K370" s="99"/>
      <x:c r="L370" s="99"/>
      <x:c r="M370" s="99"/>
      <x:c r="N370" s="99"/>
      <x:c r="O370" s="96" t="str">
        <x:f>IF(E370="","",IF(E370="Small",IF(OR(F370="",G370="",H370=""),"",IF(AND(F370="Yes",G370="Small",H370="Skip"),"Yes","No")),IF(OR(E370="Normal",E370="Large"),IF(OR(F370="",G370="",H370="",K370="",L370="",M370="",N370=""),"",IF(AND(F370="Yes",G370=E370,H370="Pick",K370="Yes",L370="No",M370=IF(E370="Normal","Normal_Bin","Large_Bin"),N370="Yes"),"Yes","No")),"")))</x:f>
      </x:c>
      <x:c r="P370" s="99"/>
      <x:c r="Q370" s="101"/>
      <x:c r="R370" s="102"/>
    </x:row>
    <x:row r="371">
      <x:c r="A371" s="97"/>
      <x:c r="B371" s="98"/>
      <x:c r="C371" s="97"/>
      <x:c r="D371" s="96" t="str">
        <x:f>IF(OR(A371="",B371="",E371=""),"","R"&amp;TEXT(A371,"00")&amp;"-"&amp;B371&amp;"-"&amp;LEFT(E371,1)&amp;IF(COUNTIFS($A$2:A371,A371,$B$2:B371,B371,$E$2:E371,E371)&gt;1,"-"&amp;COUNTIFS($A$2:A371,A371,$B$2:B371,B371,$E$2:E371,E371),""))</x:f>
      </x:c>
      <x:c r="E371" s="99"/>
      <x:c r="F371" s="99"/>
      <x:c r="G371" s="99"/>
      <x:c r="H371" s="99"/>
      <x:c r="I371" s="100"/>
      <x:c r="J371" s="99"/>
      <x:c r="K371" s="99"/>
      <x:c r="L371" s="99"/>
      <x:c r="M371" s="99"/>
      <x:c r="N371" s="99"/>
      <x:c r="O371" s="96" t="str">
        <x:f>IF(E371="","",IF(E371="Small",IF(OR(F371="",G371="",H371=""),"",IF(AND(F371="Yes",G371="Small",H371="Skip"),"Yes","No")),IF(OR(E371="Normal",E371="Large"),IF(OR(F371="",G371="",H371="",K371="",L371="",M371="",N371=""),"",IF(AND(F371="Yes",G371=E371,H371="Pick",K371="Yes",L371="No",M371=IF(E371="Normal","Normal_Bin","Large_Bin"),N371="Yes"),"Yes","No")),"")))</x:f>
      </x:c>
      <x:c r="P371" s="99"/>
      <x:c r="Q371" s="101"/>
      <x:c r="R371" s="102"/>
    </x:row>
    <x:row r="372">
      <x:c r="A372" s="97"/>
      <x:c r="B372" s="98"/>
      <x:c r="C372" s="97"/>
      <x:c r="D372" s="96" t="str">
        <x:f>IF(OR(A372="",B372="",E372=""),"","R"&amp;TEXT(A372,"00")&amp;"-"&amp;B372&amp;"-"&amp;LEFT(E372,1)&amp;IF(COUNTIFS($A$2:A372,A372,$B$2:B372,B372,$E$2:E372,E372)&gt;1,"-"&amp;COUNTIFS($A$2:A372,A372,$B$2:B372,B372,$E$2:E372,E372),""))</x:f>
      </x:c>
      <x:c r="E372" s="99"/>
      <x:c r="F372" s="99"/>
      <x:c r="G372" s="99"/>
      <x:c r="H372" s="99"/>
      <x:c r="I372" s="100"/>
      <x:c r="J372" s="99"/>
      <x:c r="K372" s="99"/>
      <x:c r="L372" s="99"/>
      <x:c r="M372" s="99"/>
      <x:c r="N372" s="99"/>
      <x:c r="O372" s="96" t="str">
        <x:f>IF(E372="","",IF(E372="Small",IF(OR(F372="",G372="",H372=""),"",IF(AND(F372="Yes",G372="Small",H372="Skip"),"Yes","No")),IF(OR(E372="Normal",E372="Large"),IF(OR(F372="",G372="",H372="",K372="",L372="",M372="",N372=""),"",IF(AND(F372="Yes",G372=E372,H372="Pick",K372="Yes",L372="No",M372=IF(E372="Normal","Normal_Bin","Large_Bin"),N372="Yes"),"Yes","No")),"")))</x:f>
      </x:c>
      <x:c r="P372" s="99"/>
      <x:c r="Q372" s="101"/>
      <x:c r="R372" s="102"/>
    </x:row>
    <x:row r="373">
      <x:c r="A373" s="97"/>
      <x:c r="B373" s="98"/>
      <x:c r="C373" s="97"/>
      <x:c r="D373" s="96" t="str">
        <x:f>IF(OR(A373="",B373="",E373=""),"","R"&amp;TEXT(A373,"00")&amp;"-"&amp;B373&amp;"-"&amp;LEFT(E373,1)&amp;IF(COUNTIFS($A$2:A373,A373,$B$2:B373,B373,$E$2:E373,E373)&gt;1,"-"&amp;COUNTIFS($A$2:A373,A373,$B$2:B373,B373,$E$2:E373,E373),""))</x:f>
      </x:c>
      <x:c r="E373" s="99"/>
      <x:c r="F373" s="99"/>
      <x:c r="G373" s="99"/>
      <x:c r="H373" s="99"/>
      <x:c r="I373" s="100"/>
      <x:c r="J373" s="99"/>
      <x:c r="K373" s="99"/>
      <x:c r="L373" s="99"/>
      <x:c r="M373" s="99"/>
      <x:c r="N373" s="99"/>
      <x:c r="O373" s="96" t="str">
        <x:f>IF(E373="","",IF(E373="Small",IF(OR(F373="",G373="",H373=""),"",IF(AND(F373="Yes",G373="Small",H373="Skip"),"Yes","No")),IF(OR(E373="Normal",E373="Large"),IF(OR(F373="",G373="",H373="",K373="",L373="",M373="",N373=""),"",IF(AND(F373="Yes",G373=E373,H373="Pick",K373="Yes",L373="No",M373=IF(E373="Normal","Normal_Bin","Large_Bin"),N373="Yes"),"Yes","No")),"")))</x:f>
      </x:c>
      <x:c r="P373" s="99"/>
      <x:c r="Q373" s="101"/>
      <x:c r="R373" s="102"/>
    </x:row>
    <x:row r="374">
      <x:c r="A374" s="97"/>
      <x:c r="B374" s="98"/>
      <x:c r="C374" s="97"/>
      <x:c r="D374" s="96" t="str">
        <x:f>IF(OR(A374="",B374="",E374=""),"","R"&amp;TEXT(A374,"00")&amp;"-"&amp;B374&amp;"-"&amp;LEFT(E374,1)&amp;IF(COUNTIFS($A$2:A374,A374,$B$2:B374,B374,$E$2:E374,E374)&gt;1,"-"&amp;COUNTIFS($A$2:A374,A374,$B$2:B374,B374,$E$2:E374,E374),""))</x:f>
      </x:c>
      <x:c r="E374" s="99"/>
      <x:c r="F374" s="99"/>
      <x:c r="G374" s="99"/>
      <x:c r="H374" s="99"/>
      <x:c r="I374" s="100"/>
      <x:c r="J374" s="99"/>
      <x:c r="K374" s="99"/>
      <x:c r="L374" s="99"/>
      <x:c r="M374" s="99"/>
      <x:c r="N374" s="99"/>
      <x:c r="O374" s="96" t="str">
        <x:f>IF(E374="","",IF(E374="Small",IF(OR(F374="",G374="",H374=""),"",IF(AND(F374="Yes",G374="Small",H374="Skip"),"Yes","No")),IF(OR(E374="Normal",E374="Large"),IF(OR(F374="",G374="",H374="",K374="",L374="",M374="",N374=""),"",IF(AND(F374="Yes",G374=E374,H374="Pick",K374="Yes",L374="No",M374=IF(E374="Normal","Normal_Bin","Large_Bin"),N374="Yes"),"Yes","No")),"")))</x:f>
      </x:c>
      <x:c r="P374" s="99"/>
      <x:c r="Q374" s="101"/>
      <x:c r="R374" s="102"/>
    </x:row>
    <x:row r="375">
      <x:c r="A375" s="97"/>
      <x:c r="B375" s="98"/>
      <x:c r="C375" s="97"/>
      <x:c r="D375" s="96" t="str">
        <x:f>IF(OR(A375="",B375="",E375=""),"","R"&amp;TEXT(A375,"00")&amp;"-"&amp;B375&amp;"-"&amp;LEFT(E375,1)&amp;IF(COUNTIFS($A$2:A375,A375,$B$2:B375,B375,$E$2:E375,E375)&gt;1,"-"&amp;COUNTIFS($A$2:A375,A375,$B$2:B375,B375,$E$2:E375,E375),""))</x:f>
      </x:c>
      <x:c r="E375" s="99"/>
      <x:c r="F375" s="99"/>
      <x:c r="G375" s="99"/>
      <x:c r="H375" s="99"/>
      <x:c r="I375" s="100"/>
      <x:c r="J375" s="99"/>
      <x:c r="K375" s="99"/>
      <x:c r="L375" s="99"/>
      <x:c r="M375" s="99"/>
      <x:c r="N375" s="99"/>
      <x:c r="O375" s="96" t="str">
        <x:f>IF(E375="","",IF(E375="Small",IF(OR(F375="",G375="",H375=""),"",IF(AND(F375="Yes",G375="Small",H375="Skip"),"Yes","No")),IF(OR(E375="Normal",E375="Large"),IF(OR(F375="",G375="",H375="",K375="",L375="",M375="",N375=""),"",IF(AND(F375="Yes",G375=E375,H375="Pick",K375="Yes",L375="No",M375=IF(E375="Normal","Normal_Bin","Large_Bin"),N375="Yes"),"Yes","No")),"")))</x:f>
      </x:c>
      <x:c r="P375" s="99"/>
      <x:c r="Q375" s="101"/>
      <x:c r="R375" s="102"/>
    </x:row>
    <x:row r="376">
      <x:c r="A376" s="97"/>
      <x:c r="B376" s="98"/>
      <x:c r="C376" s="97"/>
      <x:c r="D376" s="96" t="str">
        <x:f>IF(OR(A376="",B376="",E376=""),"","R"&amp;TEXT(A376,"00")&amp;"-"&amp;B376&amp;"-"&amp;LEFT(E376,1)&amp;IF(COUNTIFS($A$2:A376,A376,$B$2:B376,B376,$E$2:E376,E376)&gt;1,"-"&amp;COUNTIFS($A$2:A376,A376,$B$2:B376,B376,$E$2:E376,E376),""))</x:f>
      </x:c>
      <x:c r="E376" s="99"/>
      <x:c r="F376" s="99"/>
      <x:c r="G376" s="99"/>
      <x:c r="H376" s="99"/>
      <x:c r="I376" s="100"/>
      <x:c r="J376" s="99"/>
      <x:c r="K376" s="99"/>
      <x:c r="L376" s="99"/>
      <x:c r="M376" s="99"/>
      <x:c r="N376" s="99"/>
      <x:c r="O376" s="96" t="str">
        <x:f>IF(E376="","",IF(E376="Small",IF(OR(F376="",G376="",H376=""),"",IF(AND(F376="Yes",G376="Small",H376="Skip"),"Yes","No")),IF(OR(E376="Normal",E376="Large"),IF(OR(F376="",G376="",H376="",K376="",L376="",M376="",N376=""),"",IF(AND(F376="Yes",G376=E376,H376="Pick",K376="Yes",L376="No",M376=IF(E376="Normal","Normal_Bin","Large_Bin"),N376="Yes"),"Yes","No")),"")))</x:f>
      </x:c>
      <x:c r="P376" s="99"/>
      <x:c r="Q376" s="101"/>
      <x:c r="R376" s="102"/>
    </x:row>
    <x:row r="377">
      <x:c r="A377" s="97"/>
      <x:c r="B377" s="98"/>
      <x:c r="C377" s="97"/>
      <x:c r="D377" s="96" t="str">
        <x:f>IF(OR(A377="",B377="",E377=""),"","R"&amp;TEXT(A377,"00")&amp;"-"&amp;B377&amp;"-"&amp;LEFT(E377,1)&amp;IF(COUNTIFS($A$2:A377,A377,$B$2:B377,B377,$E$2:E377,E377)&gt;1,"-"&amp;COUNTIFS($A$2:A377,A377,$B$2:B377,B377,$E$2:E377,E377),""))</x:f>
      </x:c>
      <x:c r="E377" s="99"/>
      <x:c r="F377" s="99"/>
      <x:c r="G377" s="99"/>
      <x:c r="H377" s="99"/>
      <x:c r="I377" s="100"/>
      <x:c r="J377" s="99"/>
      <x:c r="K377" s="99"/>
      <x:c r="L377" s="99"/>
      <x:c r="M377" s="99"/>
      <x:c r="N377" s="99"/>
      <x:c r="O377" s="96" t="str">
        <x:f>IF(E377="","",IF(E377="Small",IF(OR(F377="",G377="",H377=""),"",IF(AND(F377="Yes",G377="Small",H377="Skip"),"Yes","No")),IF(OR(E377="Normal",E377="Large"),IF(OR(F377="",G377="",H377="",K377="",L377="",M377="",N377=""),"",IF(AND(F377="Yes",G377=E377,H377="Pick",K377="Yes",L377="No",M377=IF(E377="Normal","Normal_Bin","Large_Bin"),N377="Yes"),"Yes","No")),"")))</x:f>
      </x:c>
      <x:c r="P377" s="99"/>
      <x:c r="Q377" s="101"/>
      <x:c r="R377" s="102"/>
    </x:row>
    <x:row r="378">
      <x:c r="A378" s="97"/>
      <x:c r="B378" s="98"/>
      <x:c r="C378" s="97"/>
      <x:c r="D378" s="96" t="str">
        <x:f>IF(OR(A378="",B378="",E378=""),"","R"&amp;TEXT(A378,"00")&amp;"-"&amp;B378&amp;"-"&amp;LEFT(E378,1)&amp;IF(COUNTIFS($A$2:A378,A378,$B$2:B378,B378,$E$2:E378,E378)&gt;1,"-"&amp;COUNTIFS($A$2:A378,A378,$B$2:B378,B378,$E$2:E378,E378),""))</x:f>
      </x:c>
      <x:c r="E378" s="99"/>
      <x:c r="F378" s="99"/>
      <x:c r="G378" s="99"/>
      <x:c r="H378" s="99"/>
      <x:c r="I378" s="100"/>
      <x:c r="J378" s="99"/>
      <x:c r="K378" s="99"/>
      <x:c r="L378" s="99"/>
      <x:c r="M378" s="99"/>
      <x:c r="N378" s="99"/>
      <x:c r="O378" s="96" t="str">
        <x:f>IF(E378="","",IF(E378="Small",IF(OR(F378="",G378="",H378=""),"",IF(AND(F378="Yes",G378="Small",H378="Skip"),"Yes","No")),IF(OR(E378="Normal",E378="Large"),IF(OR(F378="",G378="",H378="",K378="",L378="",M378="",N378=""),"",IF(AND(F378="Yes",G378=E378,H378="Pick",K378="Yes",L378="No",M378=IF(E378="Normal","Normal_Bin","Large_Bin"),N378="Yes"),"Yes","No")),"")))</x:f>
      </x:c>
      <x:c r="P378" s="99"/>
      <x:c r="Q378" s="101"/>
      <x:c r="R378" s="102"/>
    </x:row>
    <x:row r="379">
      <x:c r="A379" s="97"/>
      <x:c r="B379" s="98"/>
      <x:c r="C379" s="97"/>
      <x:c r="D379" s="96" t="str">
        <x:f>IF(OR(A379="",B379="",E379=""),"","R"&amp;TEXT(A379,"00")&amp;"-"&amp;B379&amp;"-"&amp;LEFT(E379,1)&amp;IF(COUNTIFS($A$2:A379,A379,$B$2:B379,B379,$E$2:E379,E379)&gt;1,"-"&amp;COUNTIFS($A$2:A379,A379,$B$2:B379,B379,$E$2:E379,E379),""))</x:f>
      </x:c>
      <x:c r="E379" s="99"/>
      <x:c r="F379" s="99"/>
      <x:c r="G379" s="99"/>
      <x:c r="H379" s="99"/>
      <x:c r="I379" s="100"/>
      <x:c r="J379" s="99"/>
      <x:c r="K379" s="99"/>
      <x:c r="L379" s="99"/>
      <x:c r="M379" s="99"/>
      <x:c r="N379" s="99"/>
      <x:c r="O379" s="96" t="str">
        <x:f>IF(E379="","",IF(E379="Small",IF(OR(F379="",G379="",H379=""),"",IF(AND(F379="Yes",G379="Small",H379="Skip"),"Yes","No")),IF(OR(E379="Normal",E379="Large"),IF(OR(F379="",G379="",H379="",K379="",L379="",M379="",N379=""),"",IF(AND(F379="Yes",G379=E379,H379="Pick",K379="Yes",L379="No",M379=IF(E379="Normal","Normal_Bin","Large_Bin"),N379="Yes"),"Yes","No")),"")))</x:f>
      </x:c>
      <x:c r="P379" s="99"/>
      <x:c r="Q379" s="101"/>
      <x:c r="R379" s="102"/>
    </x:row>
    <x:row r="380">
      <x:c r="A380" s="97"/>
      <x:c r="B380" s="98"/>
      <x:c r="C380" s="97"/>
      <x:c r="D380" s="96" t="str">
        <x:f>IF(OR(A380="",B380="",E380=""),"","R"&amp;TEXT(A380,"00")&amp;"-"&amp;B380&amp;"-"&amp;LEFT(E380,1)&amp;IF(COUNTIFS($A$2:A380,A380,$B$2:B380,B380,$E$2:E380,E380)&gt;1,"-"&amp;COUNTIFS($A$2:A380,A380,$B$2:B380,B380,$E$2:E380,E380),""))</x:f>
      </x:c>
      <x:c r="E380" s="99"/>
      <x:c r="F380" s="99"/>
      <x:c r="G380" s="99"/>
      <x:c r="H380" s="99"/>
      <x:c r="I380" s="100"/>
      <x:c r="J380" s="99"/>
      <x:c r="K380" s="99"/>
      <x:c r="L380" s="99"/>
      <x:c r="M380" s="99"/>
      <x:c r="N380" s="99"/>
      <x:c r="O380" s="96" t="str">
        <x:f>IF(E380="","",IF(E380="Small",IF(OR(F380="",G380="",H380=""),"",IF(AND(F380="Yes",G380="Small",H380="Skip"),"Yes","No")),IF(OR(E380="Normal",E380="Large"),IF(OR(F380="",G380="",H380="",K380="",L380="",M380="",N380=""),"",IF(AND(F380="Yes",G380=E380,H380="Pick",K380="Yes",L380="No",M380=IF(E380="Normal","Normal_Bin","Large_Bin"),N380="Yes"),"Yes","No")),"")))</x:f>
      </x:c>
      <x:c r="P380" s="99"/>
      <x:c r="Q380" s="101"/>
      <x:c r="R380" s="102"/>
    </x:row>
    <x:row r="381">
      <x:c r="A381" s="97"/>
      <x:c r="B381" s="98"/>
      <x:c r="C381" s="97"/>
      <x:c r="D381" s="96" t="str">
        <x:f>IF(OR(A381="",B381="",E381=""),"","R"&amp;TEXT(A381,"00")&amp;"-"&amp;B381&amp;"-"&amp;LEFT(E381,1)&amp;IF(COUNTIFS($A$2:A381,A381,$B$2:B381,B381,$E$2:E381,E381)&gt;1,"-"&amp;COUNTIFS($A$2:A381,A381,$B$2:B381,B381,$E$2:E381,E381),""))</x:f>
      </x:c>
      <x:c r="E381" s="99"/>
      <x:c r="F381" s="99"/>
      <x:c r="G381" s="99"/>
      <x:c r="H381" s="99"/>
      <x:c r="I381" s="100"/>
      <x:c r="J381" s="99"/>
      <x:c r="K381" s="99"/>
      <x:c r="L381" s="99"/>
      <x:c r="M381" s="99"/>
      <x:c r="N381" s="99"/>
      <x:c r="O381" s="96" t="str">
        <x:f>IF(E381="","",IF(E381="Small",IF(OR(F381="",G381="",H381=""),"",IF(AND(F381="Yes",G381="Small",H381="Skip"),"Yes","No")),IF(OR(E381="Normal",E381="Large"),IF(OR(F381="",G381="",H381="",K381="",L381="",M381="",N381=""),"",IF(AND(F381="Yes",G381=E381,H381="Pick",K381="Yes",L381="No",M381=IF(E381="Normal","Normal_Bin","Large_Bin"),N381="Yes"),"Yes","No")),"")))</x:f>
      </x:c>
      <x:c r="P381" s="99"/>
      <x:c r="Q381" s="101"/>
      <x:c r="R381" s="102"/>
    </x:row>
    <x:row r="382">
      <x:c r="A382" s="97"/>
      <x:c r="B382" s="98"/>
      <x:c r="C382" s="97"/>
      <x:c r="D382" s="96" t="str">
        <x:f>IF(OR(A382="",B382="",E382=""),"","R"&amp;TEXT(A382,"00")&amp;"-"&amp;B382&amp;"-"&amp;LEFT(E382,1)&amp;IF(COUNTIFS($A$2:A382,A382,$B$2:B382,B382,$E$2:E382,E382)&gt;1,"-"&amp;COUNTIFS($A$2:A382,A382,$B$2:B382,B382,$E$2:E382,E382),""))</x:f>
      </x:c>
      <x:c r="E382" s="99"/>
      <x:c r="F382" s="99"/>
      <x:c r="G382" s="99"/>
      <x:c r="H382" s="99"/>
      <x:c r="I382" s="100"/>
      <x:c r="J382" s="99"/>
      <x:c r="K382" s="99"/>
      <x:c r="L382" s="99"/>
      <x:c r="M382" s="99"/>
      <x:c r="N382" s="99"/>
      <x:c r="O382" s="96" t="str">
        <x:f>IF(E382="","",IF(E382="Small",IF(OR(F382="",G382="",H382=""),"",IF(AND(F382="Yes",G382="Small",H382="Skip"),"Yes","No")),IF(OR(E382="Normal",E382="Large"),IF(OR(F382="",G382="",H382="",K382="",L382="",M382="",N382=""),"",IF(AND(F382="Yes",G382=E382,H382="Pick",K382="Yes",L382="No",M382=IF(E382="Normal","Normal_Bin","Large_Bin"),N382="Yes"),"Yes","No")),"")))</x:f>
      </x:c>
      <x:c r="P382" s="99"/>
      <x:c r="Q382" s="101"/>
      <x:c r="R382" s="102"/>
    </x:row>
    <x:row r="383">
      <x:c r="A383" s="97"/>
      <x:c r="B383" s="98"/>
      <x:c r="C383" s="97"/>
      <x:c r="D383" s="96" t="str">
        <x:f>IF(OR(A383="",B383="",E383=""),"","R"&amp;TEXT(A383,"00")&amp;"-"&amp;B383&amp;"-"&amp;LEFT(E383,1)&amp;IF(COUNTIFS($A$2:A383,A383,$B$2:B383,B383,$E$2:E383,E383)&gt;1,"-"&amp;COUNTIFS($A$2:A383,A383,$B$2:B383,B383,$E$2:E383,E383),""))</x:f>
      </x:c>
      <x:c r="E383" s="99"/>
      <x:c r="F383" s="99"/>
      <x:c r="G383" s="99"/>
      <x:c r="H383" s="99"/>
      <x:c r="I383" s="100"/>
      <x:c r="J383" s="99"/>
      <x:c r="K383" s="99"/>
      <x:c r="L383" s="99"/>
      <x:c r="M383" s="99"/>
      <x:c r="N383" s="99"/>
      <x:c r="O383" s="96" t="str">
        <x:f>IF(E383="","",IF(E383="Small",IF(OR(F383="",G383="",H383=""),"",IF(AND(F383="Yes",G383="Small",H383="Skip"),"Yes","No")),IF(OR(E383="Normal",E383="Large"),IF(OR(F383="",G383="",H383="",K383="",L383="",M383="",N383=""),"",IF(AND(F383="Yes",G383=E383,H383="Pick",K383="Yes",L383="No",M383=IF(E383="Normal","Normal_Bin","Large_Bin"),N383="Yes"),"Yes","No")),"")))</x:f>
      </x:c>
      <x:c r="P383" s="99"/>
      <x:c r="Q383" s="101"/>
      <x:c r="R383" s="102"/>
    </x:row>
    <x:row r="384">
      <x:c r="A384" s="97"/>
      <x:c r="B384" s="98"/>
      <x:c r="C384" s="97"/>
      <x:c r="D384" s="96" t="str">
        <x:f>IF(OR(A384="",B384="",E384=""),"","R"&amp;TEXT(A384,"00")&amp;"-"&amp;B384&amp;"-"&amp;LEFT(E384,1)&amp;IF(COUNTIFS($A$2:A384,A384,$B$2:B384,B384,$E$2:E384,E384)&gt;1,"-"&amp;COUNTIFS($A$2:A384,A384,$B$2:B384,B384,$E$2:E384,E384),""))</x:f>
      </x:c>
      <x:c r="E384" s="99"/>
      <x:c r="F384" s="99"/>
      <x:c r="G384" s="99"/>
      <x:c r="H384" s="99"/>
      <x:c r="I384" s="100"/>
      <x:c r="J384" s="99"/>
      <x:c r="K384" s="99"/>
      <x:c r="L384" s="99"/>
      <x:c r="M384" s="99"/>
      <x:c r="N384" s="99"/>
      <x:c r="O384" s="96" t="str">
        <x:f>IF(E384="","",IF(E384="Small",IF(OR(F384="",G384="",H384=""),"",IF(AND(F384="Yes",G384="Small",H384="Skip"),"Yes","No")),IF(OR(E384="Normal",E384="Large"),IF(OR(F384="",G384="",H384="",K384="",L384="",M384="",N384=""),"",IF(AND(F384="Yes",G384=E384,H384="Pick",K384="Yes",L384="No",M384=IF(E384="Normal","Normal_Bin","Large_Bin"),N384="Yes"),"Yes","No")),"")))</x:f>
      </x:c>
      <x:c r="P384" s="99"/>
      <x:c r="Q384" s="101"/>
      <x:c r="R384" s="102"/>
    </x:row>
    <x:row r="385">
      <x:c r="A385" s="97"/>
      <x:c r="B385" s="98"/>
      <x:c r="C385" s="97"/>
      <x:c r="D385" s="96" t="str">
        <x:f>IF(OR(A385="",B385="",E385=""),"","R"&amp;TEXT(A385,"00")&amp;"-"&amp;B385&amp;"-"&amp;LEFT(E385,1)&amp;IF(COUNTIFS($A$2:A385,A385,$B$2:B385,B385,$E$2:E385,E385)&gt;1,"-"&amp;COUNTIFS($A$2:A385,A385,$B$2:B385,B385,$E$2:E385,E385),""))</x:f>
      </x:c>
      <x:c r="E385" s="99"/>
      <x:c r="F385" s="99"/>
      <x:c r="G385" s="99"/>
      <x:c r="H385" s="99"/>
      <x:c r="I385" s="100"/>
      <x:c r="J385" s="99"/>
      <x:c r="K385" s="99"/>
      <x:c r="L385" s="99"/>
      <x:c r="M385" s="99"/>
      <x:c r="N385" s="99"/>
      <x:c r="O385" s="96" t="str">
        <x:f>IF(E385="","",IF(E385="Small",IF(OR(F385="",G385="",H385=""),"",IF(AND(F385="Yes",G385="Small",H385="Skip"),"Yes","No")),IF(OR(E385="Normal",E385="Large"),IF(OR(F385="",G385="",H385="",K385="",L385="",M385="",N385=""),"",IF(AND(F385="Yes",G385=E385,H385="Pick",K385="Yes",L385="No",M385=IF(E385="Normal","Normal_Bin","Large_Bin"),N385="Yes"),"Yes","No")),"")))</x:f>
      </x:c>
      <x:c r="P385" s="99"/>
      <x:c r="Q385" s="101"/>
      <x:c r="R385" s="102"/>
    </x:row>
    <x:row r="386">
      <x:c r="A386" s="97"/>
      <x:c r="B386" s="98"/>
      <x:c r="C386" s="97"/>
      <x:c r="D386" s="96" t="str">
        <x:f>IF(OR(A386="",B386="",E386=""),"","R"&amp;TEXT(A386,"00")&amp;"-"&amp;B386&amp;"-"&amp;LEFT(E386,1)&amp;IF(COUNTIFS($A$2:A386,A386,$B$2:B386,B386,$E$2:E386,E386)&gt;1,"-"&amp;COUNTIFS($A$2:A386,A386,$B$2:B386,B386,$E$2:E386,E386),""))</x:f>
      </x:c>
      <x:c r="E386" s="99"/>
      <x:c r="F386" s="99"/>
      <x:c r="G386" s="99"/>
      <x:c r="H386" s="99"/>
      <x:c r="I386" s="100"/>
      <x:c r="J386" s="99"/>
      <x:c r="K386" s="99"/>
      <x:c r="L386" s="99"/>
      <x:c r="M386" s="99"/>
      <x:c r="N386" s="99"/>
      <x:c r="O386" s="96" t="str">
        <x:f>IF(E386="","",IF(E386="Small",IF(OR(F386="",G386="",H386=""),"",IF(AND(F386="Yes",G386="Small",H386="Skip"),"Yes","No")),IF(OR(E386="Normal",E386="Large"),IF(OR(F386="",G386="",H386="",K386="",L386="",M386="",N386=""),"",IF(AND(F386="Yes",G386=E386,H386="Pick",K386="Yes",L386="No",M386=IF(E386="Normal","Normal_Bin","Large_Bin"),N386="Yes"),"Yes","No")),"")))</x:f>
      </x:c>
      <x:c r="P386" s="99"/>
      <x:c r="Q386" s="101"/>
      <x:c r="R386" s="102"/>
    </x:row>
    <x:row r="387">
      <x:c r="A387" s="97"/>
      <x:c r="B387" s="98"/>
      <x:c r="C387" s="97"/>
      <x:c r="D387" s="96" t="str">
        <x:f>IF(OR(A387="",B387="",E387=""),"","R"&amp;TEXT(A387,"00")&amp;"-"&amp;B387&amp;"-"&amp;LEFT(E387,1)&amp;IF(COUNTIFS($A$2:A387,A387,$B$2:B387,B387,$E$2:E387,E387)&gt;1,"-"&amp;COUNTIFS($A$2:A387,A387,$B$2:B387,B387,$E$2:E387,E387),""))</x:f>
      </x:c>
      <x:c r="E387" s="99"/>
      <x:c r="F387" s="99"/>
      <x:c r="G387" s="99"/>
      <x:c r="H387" s="99"/>
      <x:c r="I387" s="100"/>
      <x:c r="J387" s="99"/>
      <x:c r="K387" s="99"/>
      <x:c r="L387" s="99"/>
      <x:c r="M387" s="99"/>
      <x:c r="N387" s="99"/>
      <x:c r="O387" s="96" t="str">
        <x:f>IF(E387="","",IF(E387="Small",IF(OR(F387="",G387="",H387=""),"",IF(AND(F387="Yes",G387="Small",H387="Skip"),"Yes","No")),IF(OR(E387="Normal",E387="Large"),IF(OR(F387="",G387="",H387="",K387="",L387="",M387="",N387=""),"",IF(AND(F387="Yes",G387=E387,H387="Pick",K387="Yes",L387="No",M387=IF(E387="Normal","Normal_Bin","Large_Bin"),N387="Yes"),"Yes","No")),"")))</x:f>
      </x:c>
      <x:c r="P387" s="99"/>
      <x:c r="Q387" s="101"/>
      <x:c r="R387" s="102"/>
    </x:row>
    <x:row r="388">
      <x:c r="A388" s="97"/>
      <x:c r="B388" s="98"/>
      <x:c r="C388" s="97"/>
      <x:c r="D388" s="96" t="str">
        <x:f>IF(OR(A388="",B388="",E388=""),"","R"&amp;TEXT(A388,"00")&amp;"-"&amp;B388&amp;"-"&amp;LEFT(E388,1)&amp;IF(COUNTIFS($A$2:A388,A388,$B$2:B388,B388,$E$2:E388,E388)&gt;1,"-"&amp;COUNTIFS($A$2:A388,A388,$B$2:B388,B388,$E$2:E388,E388),""))</x:f>
      </x:c>
      <x:c r="E388" s="99"/>
      <x:c r="F388" s="99"/>
      <x:c r="G388" s="99"/>
      <x:c r="H388" s="99"/>
      <x:c r="I388" s="100"/>
      <x:c r="J388" s="99"/>
      <x:c r="K388" s="99"/>
      <x:c r="L388" s="99"/>
      <x:c r="M388" s="99"/>
      <x:c r="N388" s="99"/>
      <x:c r="O388" s="96" t="str">
        <x:f>IF(E388="","",IF(E388="Small",IF(OR(F388="",G388="",H388=""),"",IF(AND(F388="Yes",G388="Small",H388="Skip"),"Yes","No")),IF(OR(E388="Normal",E388="Large"),IF(OR(F388="",G388="",H388="",K388="",L388="",M388="",N388=""),"",IF(AND(F388="Yes",G388=E388,H388="Pick",K388="Yes",L388="No",M388=IF(E388="Normal","Normal_Bin","Large_Bin"),N388="Yes"),"Yes","No")),"")))</x:f>
      </x:c>
      <x:c r="P388" s="99"/>
      <x:c r="Q388" s="101"/>
      <x:c r="R388" s="102"/>
    </x:row>
    <x:row r="389">
      <x:c r="A389" s="97"/>
      <x:c r="B389" s="98"/>
      <x:c r="C389" s="97"/>
      <x:c r="D389" s="96" t="str">
        <x:f>IF(OR(A389="",B389="",E389=""),"","R"&amp;TEXT(A389,"00")&amp;"-"&amp;B389&amp;"-"&amp;LEFT(E389,1)&amp;IF(COUNTIFS($A$2:A389,A389,$B$2:B389,B389,$E$2:E389,E389)&gt;1,"-"&amp;COUNTIFS($A$2:A389,A389,$B$2:B389,B389,$E$2:E389,E389),""))</x:f>
      </x:c>
      <x:c r="E389" s="99"/>
      <x:c r="F389" s="99"/>
      <x:c r="G389" s="99"/>
      <x:c r="H389" s="99"/>
      <x:c r="I389" s="100"/>
      <x:c r="J389" s="99"/>
      <x:c r="K389" s="99"/>
      <x:c r="L389" s="99"/>
      <x:c r="M389" s="99"/>
      <x:c r="N389" s="99"/>
      <x:c r="O389" s="96" t="str">
        <x:f>IF(E389="","",IF(E389="Small",IF(OR(F389="",G389="",H389=""),"",IF(AND(F389="Yes",G389="Small",H389="Skip"),"Yes","No")),IF(OR(E389="Normal",E389="Large"),IF(OR(F389="",G389="",H389="",K389="",L389="",M389="",N389=""),"",IF(AND(F389="Yes",G389=E389,H389="Pick",K389="Yes",L389="No",M389=IF(E389="Normal","Normal_Bin","Large_Bin"),N389="Yes"),"Yes","No")),"")))</x:f>
      </x:c>
      <x:c r="P389" s="99"/>
      <x:c r="Q389" s="101"/>
      <x:c r="R389" s="102"/>
    </x:row>
    <x:row r="390">
      <x:c r="A390" s="97"/>
      <x:c r="B390" s="98"/>
      <x:c r="C390" s="97"/>
      <x:c r="D390" s="96" t="str">
        <x:f>IF(OR(A390="",B390="",E390=""),"","R"&amp;TEXT(A390,"00")&amp;"-"&amp;B390&amp;"-"&amp;LEFT(E390,1)&amp;IF(COUNTIFS($A$2:A390,A390,$B$2:B390,B390,$E$2:E390,E390)&gt;1,"-"&amp;COUNTIFS($A$2:A390,A390,$B$2:B390,B390,$E$2:E390,E390),""))</x:f>
      </x:c>
      <x:c r="E390" s="99"/>
      <x:c r="F390" s="99"/>
      <x:c r="G390" s="99"/>
      <x:c r="H390" s="99"/>
      <x:c r="I390" s="100"/>
      <x:c r="J390" s="99"/>
      <x:c r="K390" s="99"/>
      <x:c r="L390" s="99"/>
      <x:c r="M390" s="99"/>
      <x:c r="N390" s="99"/>
      <x:c r="O390" s="96" t="str">
        <x:f>IF(E390="","",IF(E390="Small",IF(OR(F390="",G390="",H390=""),"",IF(AND(F390="Yes",G390="Small",H390="Skip"),"Yes","No")),IF(OR(E390="Normal",E390="Large"),IF(OR(F390="",G390="",H390="",K390="",L390="",M390="",N390=""),"",IF(AND(F390="Yes",G390=E390,H390="Pick",K390="Yes",L390="No",M390=IF(E390="Normal","Normal_Bin","Large_Bin"),N390="Yes"),"Yes","No")),"")))</x:f>
      </x:c>
      <x:c r="P390" s="99"/>
      <x:c r="Q390" s="101"/>
      <x:c r="R390" s="102"/>
    </x:row>
    <x:row r="391">
      <x:c r="A391" s="97"/>
      <x:c r="B391" s="98"/>
      <x:c r="C391" s="97"/>
      <x:c r="D391" s="96" t="str">
        <x:f>IF(OR(A391="",B391="",E391=""),"","R"&amp;TEXT(A391,"00")&amp;"-"&amp;B391&amp;"-"&amp;LEFT(E391,1)&amp;IF(COUNTIFS($A$2:A391,A391,$B$2:B391,B391,$E$2:E391,E391)&gt;1,"-"&amp;COUNTIFS($A$2:A391,A391,$B$2:B391,B391,$E$2:E391,E391),""))</x:f>
      </x:c>
      <x:c r="E391" s="99"/>
      <x:c r="F391" s="99"/>
      <x:c r="G391" s="99"/>
      <x:c r="H391" s="99"/>
      <x:c r="I391" s="100"/>
      <x:c r="J391" s="99"/>
      <x:c r="K391" s="99"/>
      <x:c r="L391" s="99"/>
      <x:c r="M391" s="99"/>
      <x:c r="N391" s="99"/>
      <x:c r="O391" s="96" t="str">
        <x:f>IF(E391="","",IF(E391="Small",IF(OR(F391="",G391="",H391=""),"",IF(AND(F391="Yes",G391="Small",H391="Skip"),"Yes","No")),IF(OR(E391="Normal",E391="Large"),IF(OR(F391="",G391="",H391="",K391="",L391="",M391="",N391=""),"",IF(AND(F391="Yes",G391=E391,H391="Pick",K391="Yes",L391="No",M391=IF(E391="Normal","Normal_Bin","Large_Bin"),N391="Yes"),"Yes","No")),"")))</x:f>
      </x:c>
      <x:c r="P391" s="99"/>
      <x:c r="Q391" s="101"/>
      <x:c r="R391" s="102"/>
    </x:row>
    <x:row r="392">
      <x:c r="A392" s="97"/>
      <x:c r="B392" s="98"/>
      <x:c r="C392" s="97"/>
      <x:c r="D392" s="96" t="str">
        <x:f>IF(OR(A392="",B392="",E392=""),"","R"&amp;TEXT(A392,"00")&amp;"-"&amp;B392&amp;"-"&amp;LEFT(E392,1)&amp;IF(COUNTIFS($A$2:A392,A392,$B$2:B392,B392,$E$2:E392,E392)&gt;1,"-"&amp;COUNTIFS($A$2:A392,A392,$B$2:B392,B392,$E$2:E392,E392),""))</x:f>
      </x:c>
      <x:c r="E392" s="99"/>
      <x:c r="F392" s="99"/>
      <x:c r="G392" s="99"/>
      <x:c r="H392" s="99"/>
      <x:c r="I392" s="100"/>
      <x:c r="J392" s="99"/>
      <x:c r="K392" s="99"/>
      <x:c r="L392" s="99"/>
      <x:c r="M392" s="99"/>
      <x:c r="N392" s="99"/>
      <x:c r="O392" s="96" t="str">
        <x:f>IF(E392="","",IF(E392="Small",IF(OR(F392="",G392="",H392=""),"",IF(AND(F392="Yes",G392="Small",H392="Skip"),"Yes","No")),IF(OR(E392="Normal",E392="Large"),IF(OR(F392="",G392="",H392="",K392="",L392="",M392="",N392=""),"",IF(AND(F392="Yes",G392=E392,H392="Pick",K392="Yes",L392="No",M392=IF(E392="Normal","Normal_Bin","Large_Bin"),N392="Yes"),"Yes","No")),"")))</x:f>
      </x:c>
      <x:c r="P392" s="99"/>
      <x:c r="Q392" s="101"/>
      <x:c r="R392" s="102"/>
    </x:row>
    <x:row r="393">
      <x:c r="A393" s="97"/>
      <x:c r="B393" s="98"/>
      <x:c r="C393" s="97"/>
      <x:c r="D393" s="96" t="str">
        <x:f>IF(OR(A393="",B393="",E393=""),"","R"&amp;TEXT(A393,"00")&amp;"-"&amp;B393&amp;"-"&amp;LEFT(E393,1)&amp;IF(COUNTIFS($A$2:A393,A393,$B$2:B393,B393,$E$2:E393,E393)&gt;1,"-"&amp;COUNTIFS($A$2:A393,A393,$B$2:B393,B393,$E$2:E393,E393),""))</x:f>
      </x:c>
      <x:c r="E393" s="99"/>
      <x:c r="F393" s="99"/>
      <x:c r="G393" s="99"/>
      <x:c r="H393" s="99"/>
      <x:c r="I393" s="100"/>
      <x:c r="J393" s="99"/>
      <x:c r="K393" s="99"/>
      <x:c r="L393" s="99"/>
      <x:c r="M393" s="99"/>
      <x:c r="N393" s="99"/>
      <x:c r="O393" s="96" t="str">
        <x:f>IF(E393="","",IF(E393="Small",IF(OR(F393="",G393="",H393=""),"",IF(AND(F393="Yes",G393="Small",H393="Skip"),"Yes","No")),IF(OR(E393="Normal",E393="Large"),IF(OR(F393="",G393="",H393="",K393="",L393="",M393="",N393=""),"",IF(AND(F393="Yes",G393=E393,H393="Pick",K393="Yes",L393="No",M393=IF(E393="Normal","Normal_Bin","Large_Bin"),N393="Yes"),"Yes","No")),"")))</x:f>
      </x:c>
      <x:c r="P393" s="99"/>
      <x:c r="Q393" s="101"/>
      <x:c r="R393" s="102"/>
    </x:row>
    <x:row r="394">
      <x:c r="A394" s="97"/>
      <x:c r="B394" s="98"/>
      <x:c r="C394" s="97"/>
      <x:c r="D394" s="96" t="str">
        <x:f>IF(OR(A394="",B394="",E394=""),"","R"&amp;TEXT(A394,"00")&amp;"-"&amp;B394&amp;"-"&amp;LEFT(E394,1)&amp;IF(COUNTIFS($A$2:A394,A394,$B$2:B394,B394,$E$2:E394,E394)&gt;1,"-"&amp;COUNTIFS($A$2:A394,A394,$B$2:B394,B394,$E$2:E394,E394),""))</x:f>
      </x:c>
      <x:c r="E394" s="99"/>
      <x:c r="F394" s="99"/>
      <x:c r="G394" s="99"/>
      <x:c r="H394" s="99"/>
      <x:c r="I394" s="100"/>
      <x:c r="J394" s="99"/>
      <x:c r="K394" s="99"/>
      <x:c r="L394" s="99"/>
      <x:c r="M394" s="99"/>
      <x:c r="N394" s="99"/>
      <x:c r="O394" s="96" t="str">
        <x:f>IF(E394="","",IF(E394="Small",IF(OR(F394="",G394="",H394=""),"",IF(AND(F394="Yes",G394="Small",H394="Skip"),"Yes","No")),IF(OR(E394="Normal",E394="Large"),IF(OR(F394="",G394="",H394="",K394="",L394="",M394="",N394=""),"",IF(AND(F394="Yes",G394=E394,H394="Pick",K394="Yes",L394="No",M394=IF(E394="Normal","Normal_Bin","Large_Bin"),N394="Yes"),"Yes","No")),"")))</x:f>
      </x:c>
      <x:c r="P394" s="99"/>
      <x:c r="Q394" s="101"/>
      <x:c r="R394" s="102"/>
    </x:row>
    <x:row r="395">
      <x:c r="A395" s="97"/>
      <x:c r="B395" s="98"/>
      <x:c r="C395" s="97"/>
      <x:c r="D395" s="96" t="str">
        <x:f>IF(OR(A395="",B395="",E395=""),"","R"&amp;TEXT(A395,"00")&amp;"-"&amp;B395&amp;"-"&amp;LEFT(E395,1)&amp;IF(COUNTIFS($A$2:A395,A395,$B$2:B395,B395,$E$2:E395,E395)&gt;1,"-"&amp;COUNTIFS($A$2:A395,A395,$B$2:B395,B395,$E$2:E395,E395),""))</x:f>
      </x:c>
      <x:c r="E395" s="99"/>
      <x:c r="F395" s="99"/>
      <x:c r="G395" s="99"/>
      <x:c r="H395" s="99"/>
      <x:c r="I395" s="100"/>
      <x:c r="J395" s="99"/>
      <x:c r="K395" s="99"/>
      <x:c r="L395" s="99"/>
      <x:c r="M395" s="99"/>
      <x:c r="N395" s="99"/>
      <x:c r="O395" s="96" t="str">
        <x:f>IF(E395="","",IF(E395="Small",IF(OR(F395="",G395="",H395=""),"",IF(AND(F395="Yes",G395="Small",H395="Skip"),"Yes","No")),IF(OR(E395="Normal",E395="Large"),IF(OR(F395="",G395="",H395="",K395="",L395="",M395="",N395=""),"",IF(AND(F395="Yes",G395=E395,H395="Pick",K395="Yes",L395="No",M395=IF(E395="Normal","Normal_Bin","Large_Bin"),N395="Yes"),"Yes","No")),"")))</x:f>
      </x:c>
      <x:c r="P395" s="99"/>
      <x:c r="Q395" s="101"/>
      <x:c r="R395" s="102"/>
    </x:row>
    <x:row r="396">
      <x:c r="A396" s="97"/>
      <x:c r="B396" s="98"/>
      <x:c r="C396" s="97"/>
      <x:c r="D396" s="96" t="str">
        <x:f>IF(OR(A396="",B396="",E396=""),"","R"&amp;TEXT(A396,"00")&amp;"-"&amp;B396&amp;"-"&amp;LEFT(E396,1)&amp;IF(COUNTIFS($A$2:A396,A396,$B$2:B396,B396,$E$2:E396,E396)&gt;1,"-"&amp;COUNTIFS($A$2:A396,A396,$B$2:B396,B396,$E$2:E396,E396),""))</x:f>
      </x:c>
      <x:c r="E396" s="99"/>
      <x:c r="F396" s="99"/>
      <x:c r="G396" s="99"/>
      <x:c r="H396" s="99"/>
      <x:c r="I396" s="100"/>
      <x:c r="J396" s="99"/>
      <x:c r="K396" s="99"/>
      <x:c r="L396" s="99"/>
      <x:c r="M396" s="99"/>
      <x:c r="N396" s="99"/>
      <x:c r="O396" s="96" t="str">
        <x:f>IF(E396="","",IF(E396="Small",IF(OR(F396="",G396="",H396=""),"",IF(AND(F396="Yes",G396="Small",H396="Skip"),"Yes","No")),IF(OR(E396="Normal",E396="Large"),IF(OR(F396="",G396="",H396="",K396="",L396="",M396="",N396=""),"",IF(AND(F396="Yes",G396=E396,H396="Pick",K396="Yes",L396="No",M396=IF(E396="Normal","Normal_Bin","Large_Bin"),N396="Yes"),"Yes","No")),"")))</x:f>
      </x:c>
      <x:c r="P396" s="99"/>
      <x:c r="Q396" s="101"/>
      <x:c r="R396" s="102"/>
    </x:row>
    <x:row r="397">
      <x:c r="A397" s="97"/>
      <x:c r="B397" s="98"/>
      <x:c r="C397" s="97"/>
      <x:c r="D397" s="96" t="str">
        <x:f>IF(OR(A397="",B397="",E397=""),"","R"&amp;TEXT(A397,"00")&amp;"-"&amp;B397&amp;"-"&amp;LEFT(E397,1)&amp;IF(COUNTIFS($A$2:A397,A397,$B$2:B397,B397,$E$2:E397,E397)&gt;1,"-"&amp;COUNTIFS($A$2:A397,A397,$B$2:B397,B397,$E$2:E397,E397),""))</x:f>
      </x:c>
      <x:c r="E397" s="99"/>
      <x:c r="F397" s="99"/>
      <x:c r="G397" s="99"/>
      <x:c r="H397" s="99"/>
      <x:c r="I397" s="100"/>
      <x:c r="J397" s="99"/>
      <x:c r="K397" s="99"/>
      <x:c r="L397" s="99"/>
      <x:c r="M397" s="99"/>
      <x:c r="N397" s="99"/>
      <x:c r="O397" s="96" t="str">
        <x:f>IF(E397="","",IF(E397="Small",IF(OR(F397="",G397="",H397=""),"",IF(AND(F397="Yes",G397="Small",H397="Skip"),"Yes","No")),IF(OR(E397="Normal",E397="Large"),IF(OR(F397="",G397="",H397="",K397="",L397="",M397="",N397=""),"",IF(AND(F397="Yes",G397=E397,H397="Pick",K397="Yes",L397="No",M397=IF(E397="Normal","Normal_Bin","Large_Bin"),N397="Yes"),"Yes","No")),"")))</x:f>
      </x:c>
      <x:c r="P397" s="99"/>
      <x:c r="Q397" s="101"/>
      <x:c r="R397" s="102"/>
    </x:row>
    <x:row r="398">
      <x:c r="A398" s="97"/>
      <x:c r="B398" s="98"/>
      <x:c r="C398" s="97"/>
      <x:c r="D398" s="96" t="str">
        <x:f>IF(OR(A398="",B398="",E398=""),"","R"&amp;TEXT(A398,"00")&amp;"-"&amp;B398&amp;"-"&amp;LEFT(E398,1)&amp;IF(COUNTIFS($A$2:A398,A398,$B$2:B398,B398,$E$2:E398,E398)&gt;1,"-"&amp;COUNTIFS($A$2:A398,A398,$B$2:B398,B398,$E$2:E398,E398),""))</x:f>
      </x:c>
      <x:c r="E398" s="99"/>
      <x:c r="F398" s="99"/>
      <x:c r="G398" s="99"/>
      <x:c r="H398" s="99"/>
      <x:c r="I398" s="100"/>
      <x:c r="J398" s="99"/>
      <x:c r="K398" s="99"/>
      <x:c r="L398" s="99"/>
      <x:c r="M398" s="99"/>
      <x:c r="N398" s="99"/>
      <x:c r="O398" s="96" t="str">
        <x:f>IF(E398="","",IF(E398="Small",IF(OR(F398="",G398="",H398=""),"",IF(AND(F398="Yes",G398="Small",H398="Skip"),"Yes","No")),IF(OR(E398="Normal",E398="Large"),IF(OR(F398="",G398="",H398="",K398="",L398="",M398="",N398=""),"",IF(AND(F398="Yes",G398=E398,H398="Pick",K398="Yes",L398="No",M398=IF(E398="Normal","Normal_Bin","Large_Bin"),N398="Yes"),"Yes","No")),"")))</x:f>
      </x:c>
      <x:c r="P398" s="99"/>
      <x:c r="Q398" s="101"/>
      <x:c r="R398" s="102"/>
    </x:row>
    <x:row r="399">
      <x:c r="A399" s="97"/>
      <x:c r="B399" s="98"/>
      <x:c r="C399" s="97"/>
      <x:c r="D399" s="96" t="str">
        <x:f>IF(OR(A399="",B399="",E399=""),"","R"&amp;TEXT(A399,"00")&amp;"-"&amp;B399&amp;"-"&amp;LEFT(E399,1)&amp;IF(COUNTIFS($A$2:A399,A399,$B$2:B399,B399,$E$2:E399,E399)&gt;1,"-"&amp;COUNTIFS($A$2:A399,A399,$B$2:B399,B399,$E$2:E399,E399),""))</x:f>
      </x:c>
      <x:c r="E399" s="99"/>
      <x:c r="F399" s="99"/>
      <x:c r="G399" s="99"/>
      <x:c r="H399" s="99"/>
      <x:c r="I399" s="100"/>
      <x:c r="J399" s="99"/>
      <x:c r="K399" s="99"/>
      <x:c r="L399" s="99"/>
      <x:c r="M399" s="99"/>
      <x:c r="N399" s="99"/>
      <x:c r="O399" s="96" t="str">
        <x:f>IF(E399="","",IF(E399="Small",IF(OR(F399="",G399="",H399=""),"",IF(AND(F399="Yes",G399="Small",H399="Skip"),"Yes","No")),IF(OR(E399="Normal",E399="Large"),IF(OR(F399="",G399="",H399="",K399="",L399="",M399="",N399=""),"",IF(AND(F399="Yes",G399=E399,H399="Pick",K399="Yes",L399="No",M399=IF(E399="Normal","Normal_Bin","Large_Bin"),N399="Yes"),"Yes","No")),"")))</x:f>
      </x:c>
      <x:c r="P399" s="99"/>
      <x:c r="Q399" s="101"/>
      <x:c r="R399" s="102"/>
    </x:row>
    <x:row r="400">
      <x:c r="A400" s="97"/>
      <x:c r="B400" s="98"/>
      <x:c r="C400" s="97"/>
      <x:c r="D400" s="96" t="str">
        <x:f>IF(OR(A400="",B400="",E400=""),"","R"&amp;TEXT(A400,"00")&amp;"-"&amp;B400&amp;"-"&amp;LEFT(E400,1)&amp;IF(COUNTIFS($A$2:A400,A400,$B$2:B400,B400,$E$2:E400,E400)&gt;1,"-"&amp;COUNTIFS($A$2:A400,A400,$B$2:B400,B400,$E$2:E400,E400),""))</x:f>
      </x:c>
      <x:c r="E400" s="99"/>
      <x:c r="F400" s="99"/>
      <x:c r="G400" s="99"/>
      <x:c r="H400" s="99"/>
      <x:c r="I400" s="100"/>
      <x:c r="J400" s="99"/>
      <x:c r="K400" s="99"/>
      <x:c r="L400" s="99"/>
      <x:c r="M400" s="99"/>
      <x:c r="N400" s="99"/>
      <x:c r="O400" s="96" t="str">
        <x:f>IF(E400="","",IF(E400="Small",IF(OR(F400="",G400="",H400=""),"",IF(AND(F400="Yes",G400="Small",H400="Skip"),"Yes","No")),IF(OR(E400="Normal",E400="Large"),IF(OR(F400="",G400="",H400="",K400="",L400="",M400="",N400=""),"",IF(AND(F400="Yes",G400=E400,H400="Pick",K400="Yes",L400="No",M400=IF(E400="Normal","Normal_Bin","Large_Bin"),N400="Yes"),"Yes","No")),"")))</x:f>
      </x:c>
      <x:c r="P400" s="99"/>
      <x:c r="Q400" s="101"/>
      <x:c r="R400" s="102"/>
    </x:row>
    <x:row r="401">
      <x:c r="A401" s="97"/>
      <x:c r="B401" s="98"/>
      <x:c r="C401" s="97"/>
      <x:c r="D401" s="96" t="str">
        <x:f>IF(OR(A401="",B401="",E401=""),"","R"&amp;TEXT(A401,"00")&amp;"-"&amp;B401&amp;"-"&amp;LEFT(E401,1)&amp;IF(COUNTIFS($A$2:A401,A401,$B$2:B401,B401,$E$2:E401,E401)&gt;1,"-"&amp;COUNTIFS($A$2:A401,A401,$B$2:B401,B401,$E$2:E401,E401),""))</x:f>
      </x:c>
      <x:c r="E401" s="99"/>
      <x:c r="F401" s="99"/>
      <x:c r="G401" s="99"/>
      <x:c r="H401" s="99"/>
      <x:c r="I401" s="100"/>
      <x:c r="J401" s="99"/>
      <x:c r="K401" s="99"/>
      <x:c r="L401" s="99"/>
      <x:c r="M401" s="99"/>
      <x:c r="N401" s="99"/>
      <x:c r="O401" s="96" t="str">
        <x:f>IF(E401="","",IF(E401="Small",IF(OR(F401="",G401="",H401=""),"",IF(AND(F401="Yes",G401="Small",H401="Skip"),"Yes","No")),IF(OR(E401="Normal",E401="Large"),IF(OR(F401="",G401="",H401="",K401="",L401="",M401="",N401=""),"",IF(AND(F401="Yes",G401=E401,H401="Pick",K401="Yes",L401="No",M401=IF(E401="Normal","Normal_Bin","Large_Bin"),N401="Yes"),"Yes","No")),"")))</x:f>
      </x:c>
      <x:c r="P401" s="99"/>
      <x:c r="Q401" s="101"/>
      <x:c r="R401" s="102"/>
    </x:row>
    <x:row r="402">
      <x:c r="A402" s="97"/>
      <x:c r="B402" s="98"/>
      <x:c r="C402" s="97"/>
      <x:c r="D402" s="96" t="str">
        <x:f>IF(OR(A402="",B402="",E402=""),"","R"&amp;TEXT(A402,"00")&amp;"-"&amp;B402&amp;"-"&amp;LEFT(E402,1)&amp;IF(COUNTIFS($A$2:A402,A402,$B$2:B402,B402,$E$2:E402,E402)&gt;1,"-"&amp;COUNTIFS($A$2:A402,A402,$B$2:B402,B402,$E$2:E402,E402),""))</x:f>
      </x:c>
      <x:c r="E402" s="99"/>
      <x:c r="F402" s="99"/>
      <x:c r="G402" s="99"/>
      <x:c r="H402" s="99"/>
      <x:c r="I402" s="100"/>
      <x:c r="J402" s="99"/>
      <x:c r="K402" s="99"/>
      <x:c r="L402" s="99"/>
      <x:c r="M402" s="99"/>
      <x:c r="N402" s="99"/>
      <x:c r="O402" s="96" t="str">
        <x:f>IF(E402="","",IF(E402="Small",IF(OR(F402="",G402="",H402=""),"",IF(AND(F402="Yes",G402="Small",H402="Skip"),"Yes","No")),IF(OR(E402="Normal",E402="Large"),IF(OR(F402="",G402="",H402="",K402="",L402="",M402="",N402=""),"",IF(AND(F402="Yes",G402=E402,H402="Pick",K402="Yes",L402="No",M402=IF(E402="Normal","Normal_Bin","Large_Bin"),N402="Yes"),"Yes","No")),"")))</x:f>
      </x:c>
      <x:c r="P402" s="99"/>
      <x:c r="Q402" s="101"/>
      <x:c r="R402" s="102"/>
    </x:row>
    <x:row r="403">
      <x:c r="A403" s="97"/>
      <x:c r="B403" s="98"/>
      <x:c r="C403" s="97"/>
      <x:c r="D403" s="96" t="str">
        <x:f>IF(OR(A403="",B403="",E403=""),"","R"&amp;TEXT(A403,"00")&amp;"-"&amp;B403&amp;"-"&amp;LEFT(E403,1)&amp;IF(COUNTIFS($A$2:A403,A403,$B$2:B403,B403,$E$2:E403,E403)&gt;1,"-"&amp;COUNTIFS($A$2:A403,A403,$B$2:B403,B403,$E$2:E403,E403),""))</x:f>
      </x:c>
      <x:c r="E403" s="99"/>
      <x:c r="F403" s="99"/>
      <x:c r="G403" s="99"/>
      <x:c r="H403" s="99"/>
      <x:c r="I403" s="100"/>
      <x:c r="J403" s="99"/>
      <x:c r="K403" s="99"/>
      <x:c r="L403" s="99"/>
      <x:c r="M403" s="99"/>
      <x:c r="N403" s="99"/>
      <x:c r="O403" s="96" t="str">
        <x:f>IF(E403="","",IF(E403="Small",IF(OR(F403="",G403="",H403=""),"",IF(AND(F403="Yes",G403="Small",H403="Skip"),"Yes","No")),IF(OR(E403="Normal",E403="Large"),IF(OR(F403="",G403="",H403="",K403="",L403="",M403="",N403=""),"",IF(AND(F403="Yes",G403=E403,H403="Pick",K403="Yes",L403="No",M403=IF(E403="Normal","Normal_Bin","Large_Bin"),N403="Yes"),"Yes","No")),"")))</x:f>
      </x:c>
      <x:c r="P403" s="99"/>
      <x:c r="Q403" s="101"/>
      <x:c r="R403" s="102"/>
    </x:row>
    <x:row r="404">
      <x:c r="A404" s="97"/>
      <x:c r="B404" s="98"/>
      <x:c r="C404" s="97"/>
      <x:c r="D404" s="96" t="str">
        <x:f>IF(OR(A404="",B404="",E404=""),"","R"&amp;TEXT(A404,"00")&amp;"-"&amp;B404&amp;"-"&amp;LEFT(E404,1)&amp;IF(COUNTIFS($A$2:A404,A404,$B$2:B404,B404,$E$2:E404,E404)&gt;1,"-"&amp;COUNTIFS($A$2:A404,A404,$B$2:B404,B404,$E$2:E404,E404),""))</x:f>
      </x:c>
      <x:c r="E404" s="99"/>
      <x:c r="F404" s="99"/>
      <x:c r="G404" s="99"/>
      <x:c r="H404" s="99"/>
      <x:c r="I404" s="100"/>
      <x:c r="J404" s="99"/>
      <x:c r="K404" s="99"/>
      <x:c r="L404" s="99"/>
      <x:c r="M404" s="99"/>
      <x:c r="N404" s="99"/>
      <x:c r="O404" s="96" t="str">
        <x:f>IF(E404="","",IF(E404="Small",IF(OR(F404="",G404="",H404=""),"",IF(AND(F404="Yes",G404="Small",H404="Skip"),"Yes","No")),IF(OR(E404="Normal",E404="Large"),IF(OR(F404="",G404="",H404="",K404="",L404="",M404="",N404=""),"",IF(AND(F404="Yes",G404=E404,H404="Pick",K404="Yes",L404="No",M404=IF(E404="Normal","Normal_Bin","Large_Bin"),N404="Yes"),"Yes","No")),"")))</x:f>
      </x:c>
      <x:c r="P404" s="99"/>
      <x:c r="Q404" s="101"/>
      <x:c r="R404" s="102"/>
    </x:row>
    <x:row r="405">
      <x:c r="A405" s="97"/>
      <x:c r="B405" s="98"/>
      <x:c r="C405" s="97"/>
      <x:c r="D405" s="96" t="str">
        <x:f>IF(OR(A405="",B405="",E405=""),"","R"&amp;TEXT(A405,"00")&amp;"-"&amp;B405&amp;"-"&amp;LEFT(E405,1)&amp;IF(COUNTIFS($A$2:A405,A405,$B$2:B405,B405,$E$2:E405,E405)&gt;1,"-"&amp;COUNTIFS($A$2:A405,A405,$B$2:B405,B405,$E$2:E405,E405),""))</x:f>
      </x:c>
      <x:c r="E405" s="99"/>
      <x:c r="F405" s="99"/>
      <x:c r="G405" s="99"/>
      <x:c r="H405" s="99"/>
      <x:c r="I405" s="100"/>
      <x:c r="J405" s="99"/>
      <x:c r="K405" s="99"/>
      <x:c r="L405" s="99"/>
      <x:c r="M405" s="99"/>
      <x:c r="N405" s="99"/>
      <x:c r="O405" s="96" t="str">
        <x:f>IF(E405="","",IF(E405="Small",IF(OR(F405="",G405="",H405=""),"",IF(AND(F405="Yes",G405="Small",H405="Skip"),"Yes","No")),IF(OR(E405="Normal",E405="Large"),IF(OR(F405="",G405="",H405="",K405="",L405="",M405="",N405=""),"",IF(AND(F405="Yes",G405=E405,H405="Pick",K405="Yes",L405="No",M405=IF(E405="Normal","Normal_Bin","Large_Bin"),N405="Yes"),"Yes","No")),"")))</x:f>
      </x:c>
      <x:c r="P405" s="99"/>
      <x:c r="Q405" s="101"/>
      <x:c r="R405" s="102"/>
    </x:row>
    <x:row r="406">
      <x:c r="A406" s="97"/>
      <x:c r="B406" s="98"/>
      <x:c r="C406" s="97"/>
      <x:c r="D406" s="96" t="str">
        <x:f>IF(OR(A406="",B406="",E406=""),"","R"&amp;TEXT(A406,"00")&amp;"-"&amp;B406&amp;"-"&amp;LEFT(E406,1)&amp;IF(COUNTIFS($A$2:A406,A406,$B$2:B406,B406,$E$2:E406,E406)&gt;1,"-"&amp;COUNTIFS($A$2:A406,A406,$B$2:B406,B406,$E$2:E406,E406),""))</x:f>
      </x:c>
      <x:c r="E406" s="99"/>
      <x:c r="F406" s="99"/>
      <x:c r="G406" s="99"/>
      <x:c r="H406" s="99"/>
      <x:c r="I406" s="100"/>
      <x:c r="J406" s="99"/>
      <x:c r="K406" s="99"/>
      <x:c r="L406" s="99"/>
      <x:c r="M406" s="99"/>
      <x:c r="N406" s="99"/>
      <x:c r="O406" s="96" t="str">
        <x:f>IF(E406="","",IF(E406="Small",IF(OR(F406="",G406="",H406=""),"",IF(AND(F406="Yes",G406="Small",H406="Skip"),"Yes","No")),IF(OR(E406="Normal",E406="Large"),IF(OR(F406="",G406="",H406="",K406="",L406="",M406="",N406=""),"",IF(AND(F406="Yes",G406=E406,H406="Pick",K406="Yes",L406="No",M406=IF(E406="Normal","Normal_Bin","Large_Bin"),N406="Yes"),"Yes","No")),"")))</x:f>
      </x:c>
      <x:c r="P406" s="99"/>
      <x:c r="Q406" s="101"/>
      <x:c r="R406" s="102"/>
    </x:row>
    <x:row r="407">
      <x:c r="A407" s="97"/>
      <x:c r="B407" s="98"/>
      <x:c r="C407" s="97"/>
      <x:c r="D407" s="96" t="str">
        <x:f>IF(OR(A407="",B407="",E407=""),"","R"&amp;TEXT(A407,"00")&amp;"-"&amp;B407&amp;"-"&amp;LEFT(E407,1)&amp;IF(COUNTIFS($A$2:A407,A407,$B$2:B407,B407,$E$2:E407,E407)&gt;1,"-"&amp;COUNTIFS($A$2:A407,A407,$B$2:B407,B407,$E$2:E407,E407),""))</x:f>
      </x:c>
      <x:c r="E407" s="99"/>
      <x:c r="F407" s="99"/>
      <x:c r="G407" s="99"/>
      <x:c r="H407" s="99"/>
      <x:c r="I407" s="100"/>
      <x:c r="J407" s="99"/>
      <x:c r="K407" s="99"/>
      <x:c r="L407" s="99"/>
      <x:c r="M407" s="99"/>
      <x:c r="N407" s="99"/>
      <x:c r="O407" s="96" t="str">
        <x:f>IF(E407="","",IF(E407="Small",IF(OR(F407="",G407="",H407=""),"",IF(AND(F407="Yes",G407="Small",H407="Skip"),"Yes","No")),IF(OR(E407="Normal",E407="Large"),IF(OR(F407="",G407="",H407="",K407="",L407="",M407="",N407=""),"",IF(AND(F407="Yes",G407=E407,H407="Pick",K407="Yes",L407="No",M407=IF(E407="Normal","Normal_Bin","Large_Bin"),N407="Yes"),"Yes","No")),"")))</x:f>
      </x:c>
      <x:c r="P407" s="99"/>
      <x:c r="Q407" s="101"/>
      <x:c r="R407" s="102"/>
    </x:row>
    <x:row r="408">
      <x:c r="A408" s="97"/>
      <x:c r="B408" s="98"/>
      <x:c r="C408" s="97"/>
      <x:c r="D408" s="96" t="str">
        <x:f>IF(OR(A408="",B408="",E408=""),"","R"&amp;TEXT(A408,"00")&amp;"-"&amp;B408&amp;"-"&amp;LEFT(E408,1)&amp;IF(COUNTIFS($A$2:A408,A408,$B$2:B408,B408,$E$2:E408,E408)&gt;1,"-"&amp;COUNTIFS($A$2:A408,A408,$B$2:B408,B408,$E$2:E408,E408),""))</x:f>
      </x:c>
      <x:c r="E408" s="99"/>
      <x:c r="F408" s="99"/>
      <x:c r="G408" s="99"/>
      <x:c r="H408" s="99"/>
      <x:c r="I408" s="100"/>
      <x:c r="J408" s="99"/>
      <x:c r="K408" s="99"/>
      <x:c r="L408" s="99"/>
      <x:c r="M408" s="99"/>
      <x:c r="N408" s="99"/>
      <x:c r="O408" s="96" t="str">
        <x:f>IF(E408="","",IF(E408="Small",IF(OR(F408="",G408="",H408=""),"",IF(AND(F408="Yes",G408="Small",H408="Skip"),"Yes","No")),IF(OR(E408="Normal",E408="Large"),IF(OR(F408="",G408="",H408="",K408="",L408="",M408="",N408=""),"",IF(AND(F408="Yes",G408=E408,H408="Pick",K408="Yes",L408="No",M408=IF(E408="Normal","Normal_Bin","Large_Bin"),N408="Yes"),"Yes","No")),"")))</x:f>
      </x:c>
      <x:c r="P408" s="99"/>
      <x:c r="Q408" s="101"/>
      <x:c r="R408" s="102"/>
    </x:row>
    <x:row r="409">
      <x:c r="A409" s="97"/>
      <x:c r="B409" s="98"/>
      <x:c r="C409" s="97"/>
      <x:c r="D409" s="96" t="str">
        <x:f>IF(OR(A409="",B409="",E409=""),"","R"&amp;TEXT(A409,"00")&amp;"-"&amp;B409&amp;"-"&amp;LEFT(E409,1)&amp;IF(COUNTIFS($A$2:A409,A409,$B$2:B409,B409,$E$2:E409,E409)&gt;1,"-"&amp;COUNTIFS($A$2:A409,A409,$B$2:B409,B409,$E$2:E409,E409),""))</x:f>
      </x:c>
      <x:c r="E409" s="99"/>
      <x:c r="F409" s="99"/>
      <x:c r="G409" s="99"/>
      <x:c r="H409" s="99"/>
      <x:c r="I409" s="100"/>
      <x:c r="J409" s="99"/>
      <x:c r="K409" s="99"/>
      <x:c r="L409" s="99"/>
      <x:c r="M409" s="99"/>
      <x:c r="N409" s="99"/>
      <x:c r="O409" s="96" t="str">
        <x:f>IF(E409="","",IF(E409="Small",IF(OR(F409="",G409="",H409=""),"",IF(AND(F409="Yes",G409="Small",H409="Skip"),"Yes","No")),IF(OR(E409="Normal",E409="Large"),IF(OR(F409="",G409="",H409="",K409="",L409="",M409="",N409=""),"",IF(AND(F409="Yes",G409=E409,H409="Pick",K409="Yes",L409="No",M409=IF(E409="Normal","Normal_Bin","Large_Bin"),N409="Yes"),"Yes","No")),"")))</x:f>
      </x:c>
      <x:c r="P409" s="99"/>
      <x:c r="Q409" s="101"/>
      <x:c r="R409" s="102"/>
    </x:row>
    <x:row r="410">
      <x:c r="A410" s="97"/>
      <x:c r="B410" s="98"/>
      <x:c r="C410" s="97"/>
      <x:c r="D410" s="96" t="str">
        <x:f>IF(OR(A410="",B410="",E410=""),"","R"&amp;TEXT(A410,"00")&amp;"-"&amp;B410&amp;"-"&amp;LEFT(E410,1)&amp;IF(COUNTIFS($A$2:A410,A410,$B$2:B410,B410,$E$2:E410,E410)&gt;1,"-"&amp;COUNTIFS($A$2:A410,A410,$B$2:B410,B410,$E$2:E410,E410),""))</x:f>
      </x:c>
      <x:c r="E410" s="99"/>
      <x:c r="F410" s="99"/>
      <x:c r="G410" s="99"/>
      <x:c r="H410" s="99"/>
      <x:c r="I410" s="100"/>
      <x:c r="J410" s="99"/>
      <x:c r="K410" s="99"/>
      <x:c r="L410" s="99"/>
      <x:c r="M410" s="99"/>
      <x:c r="N410" s="99"/>
      <x:c r="O410" s="96" t="str">
        <x:f>IF(E410="","",IF(E410="Small",IF(OR(F410="",G410="",H410=""),"",IF(AND(F410="Yes",G410="Small",H410="Skip"),"Yes","No")),IF(OR(E410="Normal",E410="Large"),IF(OR(F410="",G410="",H410="",K410="",L410="",M410="",N410=""),"",IF(AND(F410="Yes",G410=E410,H410="Pick",K410="Yes",L410="No",M410=IF(E410="Normal","Normal_Bin","Large_Bin"),N410="Yes"),"Yes","No")),"")))</x:f>
      </x:c>
      <x:c r="P410" s="99"/>
      <x:c r="Q410" s="101"/>
      <x:c r="R410" s="102"/>
    </x:row>
    <x:row r="411">
      <x:c r="A411" s="97"/>
      <x:c r="B411" s="98"/>
      <x:c r="C411" s="97"/>
      <x:c r="D411" s="96" t="str">
        <x:f>IF(OR(A411="",B411="",E411=""),"","R"&amp;TEXT(A411,"00")&amp;"-"&amp;B411&amp;"-"&amp;LEFT(E411,1)&amp;IF(COUNTIFS($A$2:A411,A411,$B$2:B411,B411,$E$2:E411,E411)&gt;1,"-"&amp;COUNTIFS($A$2:A411,A411,$B$2:B411,B411,$E$2:E411,E411),""))</x:f>
      </x:c>
      <x:c r="E411" s="99"/>
      <x:c r="F411" s="99"/>
      <x:c r="G411" s="99"/>
      <x:c r="H411" s="99"/>
      <x:c r="I411" s="100"/>
      <x:c r="J411" s="99"/>
      <x:c r="K411" s="99"/>
      <x:c r="L411" s="99"/>
      <x:c r="M411" s="99"/>
      <x:c r="N411" s="99"/>
      <x:c r="O411" s="96" t="str">
        <x:f>IF(E411="","",IF(E411="Small",IF(OR(F411="",G411="",H411=""),"",IF(AND(F411="Yes",G411="Small",H411="Skip"),"Yes","No")),IF(OR(E411="Normal",E411="Large"),IF(OR(F411="",G411="",H411="",K411="",L411="",M411="",N411=""),"",IF(AND(F411="Yes",G411=E411,H411="Pick",K411="Yes",L411="No",M411=IF(E411="Normal","Normal_Bin","Large_Bin"),N411="Yes"),"Yes","No")),"")))</x:f>
      </x:c>
      <x:c r="P411" s="99"/>
      <x:c r="Q411" s="101"/>
      <x:c r="R411" s="102"/>
    </x:row>
    <x:row r="412">
      <x:c r="A412" s="97"/>
      <x:c r="B412" s="98"/>
      <x:c r="C412" s="97"/>
      <x:c r="D412" s="96" t="str">
        <x:f>IF(OR(A412="",B412="",E412=""),"","R"&amp;TEXT(A412,"00")&amp;"-"&amp;B412&amp;"-"&amp;LEFT(E412,1)&amp;IF(COUNTIFS($A$2:A412,A412,$B$2:B412,B412,$E$2:E412,E412)&gt;1,"-"&amp;COUNTIFS($A$2:A412,A412,$B$2:B412,B412,$E$2:E412,E412),""))</x:f>
      </x:c>
      <x:c r="E412" s="99"/>
      <x:c r="F412" s="99"/>
      <x:c r="G412" s="99"/>
      <x:c r="H412" s="99"/>
      <x:c r="I412" s="100"/>
      <x:c r="J412" s="99"/>
      <x:c r="K412" s="99"/>
      <x:c r="L412" s="99"/>
      <x:c r="M412" s="99"/>
      <x:c r="N412" s="99"/>
      <x:c r="O412" s="96" t="str">
        <x:f>IF(E412="","",IF(E412="Small",IF(OR(F412="",G412="",H412=""),"",IF(AND(F412="Yes",G412="Small",H412="Skip"),"Yes","No")),IF(OR(E412="Normal",E412="Large"),IF(OR(F412="",G412="",H412="",K412="",L412="",M412="",N412=""),"",IF(AND(F412="Yes",G412=E412,H412="Pick",K412="Yes",L412="No",M412=IF(E412="Normal","Normal_Bin","Large_Bin"),N412="Yes"),"Yes","No")),"")))</x:f>
      </x:c>
      <x:c r="P412" s="99"/>
      <x:c r="Q412" s="101"/>
      <x:c r="R412" s="102"/>
    </x:row>
    <x:row r="413">
      <x:c r="A413" s="97"/>
      <x:c r="B413" s="98"/>
      <x:c r="C413" s="97"/>
      <x:c r="D413" s="96" t="str">
        <x:f>IF(OR(A413="",B413="",E413=""),"","R"&amp;TEXT(A413,"00")&amp;"-"&amp;B413&amp;"-"&amp;LEFT(E413,1)&amp;IF(COUNTIFS($A$2:A413,A413,$B$2:B413,B413,$E$2:E413,E413)&gt;1,"-"&amp;COUNTIFS($A$2:A413,A413,$B$2:B413,B413,$E$2:E413,E413),""))</x:f>
      </x:c>
      <x:c r="E413" s="99"/>
      <x:c r="F413" s="99"/>
      <x:c r="G413" s="99"/>
      <x:c r="H413" s="99"/>
      <x:c r="I413" s="100"/>
      <x:c r="J413" s="99"/>
      <x:c r="K413" s="99"/>
      <x:c r="L413" s="99"/>
      <x:c r="M413" s="99"/>
      <x:c r="N413" s="99"/>
      <x:c r="O413" s="96" t="str">
        <x:f>IF(E413="","",IF(E413="Small",IF(OR(F413="",G413="",H413=""),"",IF(AND(F413="Yes",G413="Small",H413="Skip"),"Yes","No")),IF(OR(E413="Normal",E413="Large"),IF(OR(F413="",G413="",H413="",K413="",L413="",M413="",N413=""),"",IF(AND(F413="Yes",G413=E413,H413="Pick",K413="Yes",L413="No",M413=IF(E413="Normal","Normal_Bin","Large_Bin"),N413="Yes"),"Yes","No")),"")))</x:f>
      </x:c>
      <x:c r="P413" s="99"/>
      <x:c r="Q413" s="101"/>
      <x:c r="R413" s="102"/>
    </x:row>
    <x:row r="414">
      <x:c r="A414" s="97"/>
      <x:c r="B414" s="98"/>
      <x:c r="C414" s="97"/>
      <x:c r="D414" s="96" t="str">
        <x:f>IF(OR(A414="",B414="",E414=""),"","R"&amp;TEXT(A414,"00")&amp;"-"&amp;B414&amp;"-"&amp;LEFT(E414,1)&amp;IF(COUNTIFS($A$2:A414,A414,$B$2:B414,B414,$E$2:E414,E414)&gt;1,"-"&amp;COUNTIFS($A$2:A414,A414,$B$2:B414,B414,$E$2:E414,E414),""))</x:f>
      </x:c>
      <x:c r="E414" s="99"/>
      <x:c r="F414" s="99"/>
      <x:c r="G414" s="99"/>
      <x:c r="H414" s="99"/>
      <x:c r="I414" s="100"/>
      <x:c r="J414" s="99"/>
      <x:c r="K414" s="99"/>
      <x:c r="L414" s="99"/>
      <x:c r="M414" s="99"/>
      <x:c r="N414" s="99"/>
      <x:c r="O414" s="96" t="str">
        <x:f>IF(E414="","",IF(E414="Small",IF(OR(F414="",G414="",H414=""),"",IF(AND(F414="Yes",G414="Small",H414="Skip"),"Yes","No")),IF(OR(E414="Normal",E414="Large"),IF(OR(F414="",G414="",H414="",K414="",L414="",M414="",N414=""),"",IF(AND(F414="Yes",G414=E414,H414="Pick",K414="Yes",L414="No",M414=IF(E414="Normal","Normal_Bin","Large_Bin"),N414="Yes"),"Yes","No")),"")))</x:f>
      </x:c>
      <x:c r="P414" s="99"/>
      <x:c r="Q414" s="101"/>
      <x:c r="R414" s="102"/>
    </x:row>
    <x:row r="415">
      <x:c r="A415" s="97"/>
      <x:c r="B415" s="98"/>
      <x:c r="C415" s="97"/>
      <x:c r="D415" s="96" t="str">
        <x:f>IF(OR(A415="",B415="",E415=""),"","R"&amp;TEXT(A415,"00")&amp;"-"&amp;B415&amp;"-"&amp;LEFT(E415,1)&amp;IF(COUNTIFS($A$2:A415,A415,$B$2:B415,B415,$E$2:E415,E415)&gt;1,"-"&amp;COUNTIFS($A$2:A415,A415,$B$2:B415,B415,$E$2:E415,E415),""))</x:f>
      </x:c>
      <x:c r="E415" s="99"/>
      <x:c r="F415" s="99"/>
      <x:c r="G415" s="99"/>
      <x:c r="H415" s="99"/>
      <x:c r="I415" s="100"/>
      <x:c r="J415" s="99"/>
      <x:c r="K415" s="99"/>
      <x:c r="L415" s="99"/>
      <x:c r="M415" s="99"/>
      <x:c r="N415" s="99"/>
      <x:c r="O415" s="96" t="str">
        <x:f>IF(E415="","",IF(E415="Small",IF(OR(F415="",G415="",H415=""),"",IF(AND(F415="Yes",G415="Small",H415="Skip"),"Yes","No")),IF(OR(E415="Normal",E415="Large"),IF(OR(F415="",G415="",H415="",K415="",L415="",M415="",N415=""),"",IF(AND(F415="Yes",G415=E415,H415="Pick",K415="Yes",L415="No",M415=IF(E415="Normal","Normal_Bin","Large_Bin"),N415="Yes"),"Yes","No")),"")))</x:f>
      </x:c>
      <x:c r="P415" s="99"/>
      <x:c r="Q415" s="101"/>
      <x:c r="R415" s="102"/>
    </x:row>
    <x:row r="416">
      <x:c r="A416" s="97"/>
      <x:c r="B416" s="98"/>
      <x:c r="C416" s="97"/>
      <x:c r="D416" s="96" t="str">
        <x:f>IF(OR(A416="",B416="",E416=""),"","R"&amp;TEXT(A416,"00")&amp;"-"&amp;B416&amp;"-"&amp;LEFT(E416,1)&amp;IF(COUNTIFS($A$2:A416,A416,$B$2:B416,B416,$E$2:E416,E416)&gt;1,"-"&amp;COUNTIFS($A$2:A416,A416,$B$2:B416,B416,$E$2:E416,E416),""))</x:f>
      </x:c>
      <x:c r="E416" s="99"/>
      <x:c r="F416" s="99"/>
      <x:c r="G416" s="99"/>
      <x:c r="H416" s="99"/>
      <x:c r="I416" s="100"/>
      <x:c r="J416" s="99"/>
      <x:c r="K416" s="99"/>
      <x:c r="L416" s="99"/>
      <x:c r="M416" s="99"/>
      <x:c r="N416" s="99"/>
      <x:c r="O416" s="96" t="str">
        <x:f>IF(E416="","",IF(E416="Small",IF(OR(F416="",G416="",H416=""),"",IF(AND(F416="Yes",G416="Small",H416="Skip"),"Yes","No")),IF(OR(E416="Normal",E416="Large"),IF(OR(F416="",G416="",H416="",K416="",L416="",M416="",N416=""),"",IF(AND(F416="Yes",G416=E416,H416="Pick",K416="Yes",L416="No",M416=IF(E416="Normal","Normal_Bin","Large_Bin"),N416="Yes"),"Yes","No")),"")))</x:f>
      </x:c>
      <x:c r="P416" s="99"/>
      <x:c r="Q416" s="101"/>
      <x:c r="R416" s="102"/>
    </x:row>
    <x:row r="417">
      <x:c r="A417" s="97"/>
      <x:c r="B417" s="98"/>
      <x:c r="C417" s="97"/>
      <x:c r="D417" s="96" t="str">
        <x:f>IF(OR(A417="",B417="",E417=""),"","R"&amp;TEXT(A417,"00")&amp;"-"&amp;B417&amp;"-"&amp;LEFT(E417,1)&amp;IF(COUNTIFS($A$2:A417,A417,$B$2:B417,B417,$E$2:E417,E417)&gt;1,"-"&amp;COUNTIFS($A$2:A417,A417,$B$2:B417,B417,$E$2:E417,E417),""))</x:f>
      </x:c>
      <x:c r="E417" s="99"/>
      <x:c r="F417" s="99"/>
      <x:c r="G417" s="99"/>
      <x:c r="H417" s="99"/>
      <x:c r="I417" s="100"/>
      <x:c r="J417" s="99"/>
      <x:c r="K417" s="99"/>
      <x:c r="L417" s="99"/>
      <x:c r="M417" s="99"/>
      <x:c r="N417" s="99"/>
      <x:c r="O417" s="96" t="str">
        <x:f>IF(E417="","",IF(E417="Small",IF(OR(F417="",G417="",H417=""),"",IF(AND(F417="Yes",G417="Small",H417="Skip"),"Yes","No")),IF(OR(E417="Normal",E417="Large"),IF(OR(F417="",G417="",H417="",K417="",L417="",M417="",N417=""),"",IF(AND(F417="Yes",G417=E417,H417="Pick",K417="Yes",L417="No",M417=IF(E417="Normal","Normal_Bin","Large_Bin"),N417="Yes"),"Yes","No")),"")))</x:f>
      </x:c>
      <x:c r="P417" s="99"/>
      <x:c r="Q417" s="101"/>
      <x:c r="R417" s="102"/>
    </x:row>
    <x:row r="418">
      <x:c r="A418" s="97"/>
      <x:c r="B418" s="98"/>
      <x:c r="C418" s="97"/>
      <x:c r="D418" s="96" t="str">
        <x:f>IF(OR(A418="",B418="",E418=""),"","R"&amp;TEXT(A418,"00")&amp;"-"&amp;B418&amp;"-"&amp;LEFT(E418,1)&amp;IF(COUNTIFS($A$2:A418,A418,$B$2:B418,B418,$E$2:E418,E418)&gt;1,"-"&amp;COUNTIFS($A$2:A418,A418,$B$2:B418,B418,$E$2:E418,E418),""))</x:f>
      </x:c>
      <x:c r="E418" s="99"/>
      <x:c r="F418" s="99"/>
      <x:c r="G418" s="99"/>
      <x:c r="H418" s="99"/>
      <x:c r="I418" s="100"/>
      <x:c r="J418" s="99"/>
      <x:c r="K418" s="99"/>
      <x:c r="L418" s="99"/>
      <x:c r="M418" s="99"/>
      <x:c r="N418" s="99"/>
      <x:c r="O418" s="96" t="str">
        <x:f>IF(E418="","",IF(E418="Small",IF(OR(F418="",G418="",H418=""),"",IF(AND(F418="Yes",G418="Small",H418="Skip"),"Yes","No")),IF(OR(E418="Normal",E418="Large"),IF(OR(F418="",G418="",H418="",K418="",L418="",M418="",N418=""),"",IF(AND(F418="Yes",G418=E418,H418="Pick",K418="Yes",L418="No",M418=IF(E418="Normal","Normal_Bin","Large_Bin"),N418="Yes"),"Yes","No")),"")))</x:f>
      </x:c>
      <x:c r="P418" s="99"/>
      <x:c r="Q418" s="101"/>
      <x:c r="R418" s="102"/>
    </x:row>
    <x:row r="419">
      <x:c r="A419" s="97"/>
      <x:c r="B419" s="98"/>
      <x:c r="C419" s="97"/>
      <x:c r="D419" s="96" t="str">
        <x:f>IF(OR(A419="",B419="",E419=""),"","R"&amp;TEXT(A419,"00")&amp;"-"&amp;B419&amp;"-"&amp;LEFT(E419,1)&amp;IF(COUNTIFS($A$2:A419,A419,$B$2:B419,B419,$E$2:E419,E419)&gt;1,"-"&amp;COUNTIFS($A$2:A419,A419,$B$2:B419,B419,$E$2:E419,E419),""))</x:f>
      </x:c>
      <x:c r="E419" s="99"/>
      <x:c r="F419" s="99"/>
      <x:c r="G419" s="99"/>
      <x:c r="H419" s="99"/>
      <x:c r="I419" s="100"/>
      <x:c r="J419" s="99"/>
      <x:c r="K419" s="99"/>
      <x:c r="L419" s="99"/>
      <x:c r="M419" s="99"/>
      <x:c r="N419" s="99"/>
      <x:c r="O419" s="96" t="str">
        <x:f>IF(E419="","",IF(E419="Small",IF(OR(F419="",G419="",H419=""),"",IF(AND(F419="Yes",G419="Small",H419="Skip"),"Yes","No")),IF(OR(E419="Normal",E419="Large"),IF(OR(F419="",G419="",H419="",K419="",L419="",M419="",N419=""),"",IF(AND(F419="Yes",G419=E419,H419="Pick",K419="Yes",L419="No",M419=IF(E419="Normal","Normal_Bin","Large_Bin"),N419="Yes"),"Yes","No")),"")))</x:f>
      </x:c>
      <x:c r="P419" s="99"/>
      <x:c r="Q419" s="101"/>
      <x:c r="R419" s="102"/>
    </x:row>
    <x:row r="420">
      <x:c r="A420" s="97"/>
      <x:c r="B420" s="98"/>
      <x:c r="C420" s="97"/>
      <x:c r="D420" s="96" t="str">
        <x:f>IF(OR(A420="",B420="",E420=""),"","R"&amp;TEXT(A420,"00")&amp;"-"&amp;B420&amp;"-"&amp;LEFT(E420,1)&amp;IF(COUNTIFS($A$2:A420,A420,$B$2:B420,B420,$E$2:E420,E420)&gt;1,"-"&amp;COUNTIFS($A$2:A420,A420,$B$2:B420,B420,$E$2:E420,E420),""))</x:f>
      </x:c>
      <x:c r="E420" s="99"/>
      <x:c r="F420" s="99"/>
      <x:c r="G420" s="99"/>
      <x:c r="H420" s="99"/>
      <x:c r="I420" s="100"/>
      <x:c r="J420" s="99"/>
      <x:c r="K420" s="99"/>
      <x:c r="L420" s="99"/>
      <x:c r="M420" s="99"/>
      <x:c r="N420" s="99"/>
      <x:c r="O420" s="96" t="str">
        <x:f>IF(E420="","",IF(E420="Small",IF(OR(F420="",G420="",H420=""),"",IF(AND(F420="Yes",G420="Small",H420="Skip"),"Yes","No")),IF(OR(E420="Normal",E420="Large"),IF(OR(F420="",G420="",H420="",K420="",L420="",M420="",N420=""),"",IF(AND(F420="Yes",G420=E420,H420="Pick",K420="Yes",L420="No",M420=IF(E420="Normal","Normal_Bin","Large_Bin"),N420="Yes"),"Yes","No")),"")))</x:f>
      </x:c>
      <x:c r="P420" s="99"/>
      <x:c r="Q420" s="101"/>
      <x:c r="R420" s="102"/>
    </x:row>
    <x:row r="421">
      <x:c r="A421" s="97"/>
      <x:c r="B421" s="98"/>
      <x:c r="C421" s="97"/>
      <x:c r="D421" s="96" t="str">
        <x:f>IF(OR(A421="",B421="",E421=""),"","R"&amp;TEXT(A421,"00")&amp;"-"&amp;B421&amp;"-"&amp;LEFT(E421,1)&amp;IF(COUNTIFS($A$2:A421,A421,$B$2:B421,B421,$E$2:E421,E421)&gt;1,"-"&amp;COUNTIFS($A$2:A421,A421,$B$2:B421,B421,$E$2:E421,E421),""))</x:f>
      </x:c>
      <x:c r="E421" s="99"/>
      <x:c r="F421" s="99"/>
      <x:c r="G421" s="99"/>
      <x:c r="H421" s="99"/>
      <x:c r="I421" s="100"/>
      <x:c r="J421" s="99"/>
      <x:c r="K421" s="99"/>
      <x:c r="L421" s="99"/>
      <x:c r="M421" s="99"/>
      <x:c r="N421" s="99"/>
      <x:c r="O421" s="96" t="str">
        <x:f>IF(E421="","",IF(E421="Small",IF(OR(F421="",G421="",H421=""),"",IF(AND(F421="Yes",G421="Small",H421="Skip"),"Yes","No")),IF(OR(E421="Normal",E421="Large"),IF(OR(F421="",G421="",H421="",K421="",L421="",M421="",N421=""),"",IF(AND(F421="Yes",G421=E421,H421="Pick",K421="Yes",L421="No",M421=IF(E421="Normal","Normal_Bin","Large_Bin"),N421="Yes"),"Yes","No")),"")))</x:f>
      </x:c>
      <x:c r="P421" s="99"/>
      <x:c r="Q421" s="101"/>
      <x:c r="R421" s="102"/>
    </x:row>
    <x:row r="422">
      <x:c r="A422" s="97"/>
      <x:c r="B422" s="98"/>
      <x:c r="C422" s="97"/>
      <x:c r="D422" s="96" t="str">
        <x:f>IF(OR(A422="",B422="",E422=""),"","R"&amp;TEXT(A422,"00")&amp;"-"&amp;B422&amp;"-"&amp;LEFT(E422,1)&amp;IF(COUNTIFS($A$2:A422,A422,$B$2:B422,B422,$E$2:E422,E422)&gt;1,"-"&amp;COUNTIFS($A$2:A422,A422,$B$2:B422,B422,$E$2:E422,E422),""))</x:f>
      </x:c>
      <x:c r="E422" s="99"/>
      <x:c r="F422" s="99"/>
      <x:c r="G422" s="99"/>
      <x:c r="H422" s="99"/>
      <x:c r="I422" s="100"/>
      <x:c r="J422" s="99"/>
      <x:c r="K422" s="99"/>
      <x:c r="L422" s="99"/>
      <x:c r="M422" s="99"/>
      <x:c r="N422" s="99"/>
      <x:c r="O422" s="96" t="str">
        <x:f>IF(E422="","",IF(E422="Small",IF(OR(F422="",G422="",H422=""),"",IF(AND(F422="Yes",G422="Small",H422="Skip"),"Yes","No")),IF(OR(E422="Normal",E422="Large"),IF(OR(F422="",G422="",H422="",K422="",L422="",M422="",N422=""),"",IF(AND(F422="Yes",G422=E422,H422="Pick",K422="Yes",L422="No",M422=IF(E422="Normal","Normal_Bin","Large_Bin"),N422="Yes"),"Yes","No")),"")))</x:f>
      </x:c>
      <x:c r="P422" s="99"/>
      <x:c r="Q422" s="101"/>
      <x:c r="R422" s="102"/>
    </x:row>
    <x:row r="423">
      <x:c r="A423" s="97"/>
      <x:c r="B423" s="98"/>
      <x:c r="C423" s="97"/>
      <x:c r="D423" s="96" t="str">
        <x:f>IF(OR(A423="",B423="",E423=""),"","R"&amp;TEXT(A423,"00")&amp;"-"&amp;B423&amp;"-"&amp;LEFT(E423,1)&amp;IF(COUNTIFS($A$2:A423,A423,$B$2:B423,B423,$E$2:E423,E423)&gt;1,"-"&amp;COUNTIFS($A$2:A423,A423,$B$2:B423,B423,$E$2:E423,E423),""))</x:f>
      </x:c>
      <x:c r="E423" s="99"/>
      <x:c r="F423" s="99"/>
      <x:c r="G423" s="99"/>
      <x:c r="H423" s="99"/>
      <x:c r="I423" s="100"/>
      <x:c r="J423" s="99"/>
      <x:c r="K423" s="99"/>
      <x:c r="L423" s="99"/>
      <x:c r="M423" s="99"/>
      <x:c r="N423" s="99"/>
      <x:c r="O423" s="96" t="str">
        <x:f>IF(E423="","",IF(E423="Small",IF(OR(F423="",G423="",H423=""),"",IF(AND(F423="Yes",G423="Small",H423="Skip"),"Yes","No")),IF(OR(E423="Normal",E423="Large"),IF(OR(F423="",G423="",H423="",K423="",L423="",M423="",N423=""),"",IF(AND(F423="Yes",G423=E423,H423="Pick",K423="Yes",L423="No",M423=IF(E423="Normal","Normal_Bin","Large_Bin"),N423="Yes"),"Yes","No")),"")))</x:f>
      </x:c>
      <x:c r="P423" s="99"/>
      <x:c r="Q423" s="101"/>
      <x:c r="R423" s="102"/>
    </x:row>
    <x:row r="424">
      <x:c r="A424" s="97"/>
      <x:c r="B424" s="98"/>
      <x:c r="C424" s="97"/>
      <x:c r="D424" s="96" t="str">
        <x:f>IF(OR(A424="",B424="",E424=""),"","R"&amp;TEXT(A424,"00")&amp;"-"&amp;B424&amp;"-"&amp;LEFT(E424,1)&amp;IF(COUNTIFS($A$2:A424,A424,$B$2:B424,B424,$E$2:E424,E424)&gt;1,"-"&amp;COUNTIFS($A$2:A424,A424,$B$2:B424,B424,$E$2:E424,E424),""))</x:f>
      </x:c>
      <x:c r="E424" s="99"/>
      <x:c r="F424" s="99"/>
      <x:c r="G424" s="99"/>
      <x:c r="H424" s="99"/>
      <x:c r="I424" s="100"/>
      <x:c r="J424" s="99"/>
      <x:c r="K424" s="99"/>
      <x:c r="L424" s="99"/>
      <x:c r="M424" s="99"/>
      <x:c r="N424" s="99"/>
      <x:c r="O424" s="96" t="str">
        <x:f>IF(E424="","",IF(E424="Small",IF(OR(F424="",G424="",H424=""),"",IF(AND(F424="Yes",G424="Small",H424="Skip"),"Yes","No")),IF(OR(E424="Normal",E424="Large"),IF(OR(F424="",G424="",H424="",K424="",L424="",M424="",N424=""),"",IF(AND(F424="Yes",G424=E424,H424="Pick",K424="Yes",L424="No",M424=IF(E424="Normal","Normal_Bin","Large_Bin"),N424="Yes"),"Yes","No")),"")))</x:f>
      </x:c>
      <x:c r="P424" s="99"/>
      <x:c r="Q424" s="101"/>
      <x:c r="R424" s="102"/>
    </x:row>
    <x:row r="425">
      <x:c r="A425" s="97"/>
      <x:c r="B425" s="98"/>
      <x:c r="C425" s="97"/>
      <x:c r="D425" s="96" t="str">
        <x:f>IF(OR(A425="",B425="",E425=""),"","R"&amp;TEXT(A425,"00")&amp;"-"&amp;B425&amp;"-"&amp;LEFT(E425,1)&amp;IF(COUNTIFS($A$2:A425,A425,$B$2:B425,B425,$E$2:E425,E425)&gt;1,"-"&amp;COUNTIFS($A$2:A425,A425,$B$2:B425,B425,$E$2:E425,E425),""))</x:f>
      </x:c>
      <x:c r="E425" s="99"/>
      <x:c r="F425" s="99"/>
      <x:c r="G425" s="99"/>
      <x:c r="H425" s="99"/>
      <x:c r="I425" s="100"/>
      <x:c r="J425" s="99"/>
      <x:c r="K425" s="99"/>
      <x:c r="L425" s="99"/>
      <x:c r="M425" s="99"/>
      <x:c r="N425" s="99"/>
      <x:c r="O425" s="96" t="str">
        <x:f>IF(E425="","",IF(E425="Small",IF(OR(F425="",G425="",H425=""),"",IF(AND(F425="Yes",G425="Small",H425="Skip"),"Yes","No")),IF(OR(E425="Normal",E425="Large"),IF(OR(F425="",G425="",H425="",K425="",L425="",M425="",N425=""),"",IF(AND(F425="Yes",G425=E425,H425="Pick",K425="Yes",L425="No",M425=IF(E425="Normal","Normal_Bin","Large_Bin"),N425="Yes"),"Yes","No")),"")))</x:f>
      </x:c>
      <x:c r="P425" s="99"/>
      <x:c r="Q425" s="101"/>
      <x:c r="R425" s="102"/>
    </x:row>
    <x:row r="426">
      <x:c r="A426" s="97"/>
      <x:c r="B426" s="98"/>
      <x:c r="C426" s="97"/>
      <x:c r="D426" s="96" t="str">
        <x:f>IF(OR(A426="",B426="",E426=""),"","R"&amp;TEXT(A426,"00")&amp;"-"&amp;B426&amp;"-"&amp;LEFT(E426,1)&amp;IF(COUNTIFS($A$2:A426,A426,$B$2:B426,B426,$E$2:E426,E426)&gt;1,"-"&amp;COUNTIFS($A$2:A426,A426,$B$2:B426,B426,$E$2:E426,E426),""))</x:f>
      </x:c>
      <x:c r="E426" s="99"/>
      <x:c r="F426" s="99"/>
      <x:c r="G426" s="99"/>
      <x:c r="H426" s="99"/>
      <x:c r="I426" s="100"/>
      <x:c r="J426" s="99"/>
      <x:c r="K426" s="99"/>
      <x:c r="L426" s="99"/>
      <x:c r="M426" s="99"/>
      <x:c r="N426" s="99"/>
      <x:c r="O426" s="96" t="str">
        <x:f>IF(E426="","",IF(E426="Small",IF(OR(F426="",G426="",H426=""),"",IF(AND(F426="Yes",G426="Small",H426="Skip"),"Yes","No")),IF(OR(E426="Normal",E426="Large"),IF(OR(F426="",G426="",H426="",K426="",L426="",M426="",N426=""),"",IF(AND(F426="Yes",G426=E426,H426="Pick",K426="Yes",L426="No",M426=IF(E426="Normal","Normal_Bin","Large_Bin"),N426="Yes"),"Yes","No")),"")))</x:f>
      </x:c>
      <x:c r="P426" s="99"/>
      <x:c r="Q426" s="101"/>
      <x:c r="R426" s="102"/>
    </x:row>
    <x:row r="427">
      <x:c r="A427" s="97"/>
      <x:c r="B427" s="98"/>
      <x:c r="C427" s="97"/>
      <x:c r="D427" s="96" t="str">
        <x:f>IF(OR(A427="",B427="",E427=""),"","R"&amp;TEXT(A427,"00")&amp;"-"&amp;B427&amp;"-"&amp;LEFT(E427,1)&amp;IF(COUNTIFS($A$2:A427,A427,$B$2:B427,B427,$E$2:E427,E427)&gt;1,"-"&amp;COUNTIFS($A$2:A427,A427,$B$2:B427,B427,$E$2:E427,E427),""))</x:f>
      </x:c>
      <x:c r="E427" s="99"/>
      <x:c r="F427" s="99"/>
      <x:c r="G427" s="99"/>
      <x:c r="H427" s="99"/>
      <x:c r="I427" s="100"/>
      <x:c r="J427" s="99"/>
      <x:c r="K427" s="99"/>
      <x:c r="L427" s="99"/>
      <x:c r="M427" s="99"/>
      <x:c r="N427" s="99"/>
      <x:c r="O427" s="96" t="str">
        <x:f>IF(E427="","",IF(E427="Small",IF(OR(F427="",G427="",H427=""),"",IF(AND(F427="Yes",G427="Small",H427="Skip"),"Yes","No")),IF(OR(E427="Normal",E427="Large"),IF(OR(F427="",G427="",H427="",K427="",L427="",M427="",N427=""),"",IF(AND(F427="Yes",G427=E427,H427="Pick",K427="Yes",L427="No",M427=IF(E427="Normal","Normal_Bin","Large_Bin"),N427="Yes"),"Yes","No")),"")))</x:f>
      </x:c>
      <x:c r="P427" s="99"/>
      <x:c r="Q427" s="101"/>
      <x:c r="R427" s="102"/>
    </x:row>
    <x:row r="428">
      <x:c r="A428" s="97"/>
      <x:c r="B428" s="98"/>
      <x:c r="C428" s="97"/>
      <x:c r="D428" s="96" t="str">
        <x:f>IF(OR(A428="",B428="",E428=""),"","R"&amp;TEXT(A428,"00")&amp;"-"&amp;B428&amp;"-"&amp;LEFT(E428,1)&amp;IF(COUNTIFS($A$2:A428,A428,$B$2:B428,B428,$E$2:E428,E428)&gt;1,"-"&amp;COUNTIFS($A$2:A428,A428,$B$2:B428,B428,$E$2:E428,E428),""))</x:f>
      </x:c>
      <x:c r="E428" s="99"/>
      <x:c r="F428" s="99"/>
      <x:c r="G428" s="99"/>
      <x:c r="H428" s="99"/>
      <x:c r="I428" s="100"/>
      <x:c r="J428" s="99"/>
      <x:c r="K428" s="99"/>
      <x:c r="L428" s="99"/>
      <x:c r="M428" s="99"/>
      <x:c r="N428" s="99"/>
      <x:c r="O428" s="96" t="str">
        <x:f>IF(E428="","",IF(E428="Small",IF(OR(F428="",G428="",H428=""),"",IF(AND(F428="Yes",G428="Small",H428="Skip"),"Yes","No")),IF(OR(E428="Normal",E428="Large"),IF(OR(F428="",G428="",H428="",K428="",L428="",M428="",N428=""),"",IF(AND(F428="Yes",G428=E428,H428="Pick",K428="Yes",L428="No",M428=IF(E428="Normal","Normal_Bin","Large_Bin"),N428="Yes"),"Yes","No")),"")))</x:f>
      </x:c>
      <x:c r="P428" s="99"/>
      <x:c r="Q428" s="101"/>
      <x:c r="R428" s="102"/>
    </x:row>
    <x:row r="429">
      <x:c r="A429" s="97"/>
      <x:c r="B429" s="98"/>
      <x:c r="C429" s="97"/>
      <x:c r="D429" s="96" t="str">
        <x:f>IF(OR(A429="",B429="",E429=""),"","R"&amp;TEXT(A429,"00")&amp;"-"&amp;B429&amp;"-"&amp;LEFT(E429,1)&amp;IF(COUNTIFS($A$2:A429,A429,$B$2:B429,B429,$E$2:E429,E429)&gt;1,"-"&amp;COUNTIFS($A$2:A429,A429,$B$2:B429,B429,$E$2:E429,E429),""))</x:f>
      </x:c>
      <x:c r="E429" s="99"/>
      <x:c r="F429" s="99"/>
      <x:c r="G429" s="99"/>
      <x:c r="H429" s="99"/>
      <x:c r="I429" s="100"/>
      <x:c r="J429" s="99"/>
      <x:c r="K429" s="99"/>
      <x:c r="L429" s="99"/>
      <x:c r="M429" s="99"/>
      <x:c r="N429" s="99"/>
      <x:c r="O429" s="96" t="str">
        <x:f>IF(E429="","",IF(E429="Small",IF(OR(F429="",G429="",H429=""),"",IF(AND(F429="Yes",G429="Small",H429="Skip"),"Yes","No")),IF(OR(E429="Normal",E429="Large"),IF(OR(F429="",G429="",H429="",K429="",L429="",M429="",N429=""),"",IF(AND(F429="Yes",G429=E429,H429="Pick",K429="Yes",L429="No",M429=IF(E429="Normal","Normal_Bin","Large_Bin"),N429="Yes"),"Yes","No")),"")))</x:f>
      </x:c>
      <x:c r="P429" s="99"/>
      <x:c r="Q429" s="101"/>
      <x:c r="R429" s="102"/>
    </x:row>
    <x:row r="430">
      <x:c r="A430" s="97"/>
      <x:c r="B430" s="98"/>
      <x:c r="C430" s="97"/>
      <x:c r="D430" s="96" t="str">
        <x:f>IF(OR(A430="",B430="",E430=""),"","R"&amp;TEXT(A430,"00")&amp;"-"&amp;B430&amp;"-"&amp;LEFT(E430,1)&amp;IF(COUNTIFS($A$2:A430,A430,$B$2:B430,B430,$E$2:E430,E430)&gt;1,"-"&amp;COUNTIFS($A$2:A430,A430,$B$2:B430,B430,$E$2:E430,E430),""))</x:f>
      </x:c>
      <x:c r="E430" s="99"/>
      <x:c r="F430" s="99"/>
      <x:c r="G430" s="99"/>
      <x:c r="H430" s="99"/>
      <x:c r="I430" s="100"/>
      <x:c r="J430" s="99"/>
      <x:c r="K430" s="99"/>
      <x:c r="L430" s="99"/>
      <x:c r="M430" s="99"/>
      <x:c r="N430" s="99"/>
      <x:c r="O430" s="96" t="str">
        <x:f>IF(E430="","",IF(E430="Small",IF(OR(F430="",G430="",H430=""),"",IF(AND(F430="Yes",G430="Small",H430="Skip"),"Yes","No")),IF(OR(E430="Normal",E430="Large"),IF(OR(F430="",G430="",H430="",K430="",L430="",M430="",N430=""),"",IF(AND(F430="Yes",G430=E430,H430="Pick",K430="Yes",L430="No",M430=IF(E430="Normal","Normal_Bin","Large_Bin"),N430="Yes"),"Yes","No")),"")))</x:f>
      </x:c>
      <x:c r="P430" s="99"/>
      <x:c r="Q430" s="101"/>
      <x:c r="R430" s="102"/>
    </x:row>
    <x:row r="431">
      <x:c r="A431" s="97"/>
      <x:c r="B431" s="98"/>
      <x:c r="C431" s="97"/>
      <x:c r="D431" s="96" t="str">
        <x:f>IF(OR(A431="",B431="",E431=""),"","R"&amp;TEXT(A431,"00")&amp;"-"&amp;B431&amp;"-"&amp;LEFT(E431,1)&amp;IF(COUNTIFS($A$2:A431,A431,$B$2:B431,B431,$E$2:E431,E431)&gt;1,"-"&amp;COUNTIFS($A$2:A431,A431,$B$2:B431,B431,$E$2:E431,E431),""))</x:f>
      </x:c>
      <x:c r="E431" s="99"/>
      <x:c r="F431" s="99"/>
      <x:c r="G431" s="99"/>
      <x:c r="H431" s="99"/>
      <x:c r="I431" s="100"/>
      <x:c r="J431" s="99"/>
      <x:c r="K431" s="99"/>
      <x:c r="L431" s="99"/>
      <x:c r="M431" s="99"/>
      <x:c r="N431" s="99"/>
      <x:c r="O431" s="96" t="str">
        <x:f>IF(E431="","",IF(E431="Small",IF(OR(F431="",G431="",H431=""),"",IF(AND(F431="Yes",G431="Small",H431="Skip"),"Yes","No")),IF(OR(E431="Normal",E431="Large"),IF(OR(F431="",G431="",H431="",K431="",L431="",M431="",N431=""),"",IF(AND(F431="Yes",G431=E431,H431="Pick",K431="Yes",L431="No",M431=IF(E431="Normal","Normal_Bin","Large_Bin"),N431="Yes"),"Yes","No")),"")))</x:f>
      </x:c>
      <x:c r="P431" s="99"/>
      <x:c r="Q431" s="101"/>
      <x:c r="R431" s="102"/>
    </x:row>
    <x:row r="432">
      <x:c r="A432" s="97"/>
      <x:c r="B432" s="98"/>
      <x:c r="C432" s="97"/>
      <x:c r="D432" s="96" t="str">
        <x:f>IF(OR(A432="",B432="",E432=""),"","R"&amp;TEXT(A432,"00")&amp;"-"&amp;B432&amp;"-"&amp;LEFT(E432,1)&amp;IF(COUNTIFS($A$2:A432,A432,$B$2:B432,B432,$E$2:E432,E432)&gt;1,"-"&amp;COUNTIFS($A$2:A432,A432,$B$2:B432,B432,$E$2:E432,E432),""))</x:f>
      </x:c>
      <x:c r="E432" s="99"/>
      <x:c r="F432" s="99"/>
      <x:c r="G432" s="99"/>
      <x:c r="H432" s="99"/>
      <x:c r="I432" s="100"/>
      <x:c r="J432" s="99"/>
      <x:c r="K432" s="99"/>
      <x:c r="L432" s="99"/>
      <x:c r="M432" s="99"/>
      <x:c r="N432" s="99"/>
      <x:c r="O432" s="96" t="str">
        <x:f>IF(E432="","",IF(E432="Small",IF(OR(F432="",G432="",H432=""),"",IF(AND(F432="Yes",G432="Small",H432="Skip"),"Yes","No")),IF(OR(E432="Normal",E432="Large"),IF(OR(F432="",G432="",H432="",K432="",L432="",M432="",N432=""),"",IF(AND(F432="Yes",G432=E432,H432="Pick",K432="Yes",L432="No",M432=IF(E432="Normal","Normal_Bin","Large_Bin"),N432="Yes"),"Yes","No")),"")))</x:f>
      </x:c>
      <x:c r="P432" s="99"/>
      <x:c r="Q432" s="101"/>
      <x:c r="R432" s="102"/>
    </x:row>
    <x:row r="433">
      <x:c r="A433" s="97"/>
      <x:c r="B433" s="98"/>
      <x:c r="C433" s="97"/>
      <x:c r="D433" s="96" t="str">
        <x:f>IF(OR(A433="",B433="",E433=""),"","R"&amp;TEXT(A433,"00")&amp;"-"&amp;B433&amp;"-"&amp;LEFT(E433,1)&amp;IF(COUNTIFS($A$2:A433,A433,$B$2:B433,B433,$E$2:E433,E433)&gt;1,"-"&amp;COUNTIFS($A$2:A433,A433,$B$2:B433,B433,$E$2:E433,E433),""))</x:f>
      </x:c>
      <x:c r="E433" s="99"/>
      <x:c r="F433" s="99"/>
      <x:c r="G433" s="99"/>
      <x:c r="H433" s="99"/>
      <x:c r="I433" s="100"/>
      <x:c r="J433" s="99"/>
      <x:c r="K433" s="99"/>
      <x:c r="L433" s="99"/>
      <x:c r="M433" s="99"/>
      <x:c r="N433" s="99"/>
      <x:c r="O433" s="96" t="str">
        <x:f>IF(E433="","",IF(E433="Small",IF(OR(F433="",G433="",H433=""),"",IF(AND(F433="Yes",G433="Small",H433="Skip"),"Yes","No")),IF(OR(E433="Normal",E433="Large"),IF(OR(F433="",G433="",H433="",K433="",L433="",M433="",N433=""),"",IF(AND(F433="Yes",G433=E433,H433="Pick",K433="Yes",L433="No",M433=IF(E433="Normal","Normal_Bin","Large_Bin"),N433="Yes"),"Yes","No")),"")))</x:f>
      </x:c>
      <x:c r="P433" s="99"/>
      <x:c r="Q433" s="101"/>
      <x:c r="R433" s="102"/>
    </x:row>
    <x:row r="434">
      <x:c r="A434" s="97"/>
      <x:c r="B434" s="98"/>
      <x:c r="C434" s="97"/>
      <x:c r="D434" s="96" t="str">
        <x:f>IF(OR(A434="",B434="",E434=""),"","R"&amp;TEXT(A434,"00")&amp;"-"&amp;B434&amp;"-"&amp;LEFT(E434,1)&amp;IF(COUNTIFS($A$2:A434,A434,$B$2:B434,B434,$E$2:E434,E434)&gt;1,"-"&amp;COUNTIFS($A$2:A434,A434,$B$2:B434,B434,$E$2:E434,E434),""))</x:f>
      </x:c>
      <x:c r="E434" s="99"/>
      <x:c r="F434" s="99"/>
      <x:c r="G434" s="99"/>
      <x:c r="H434" s="99"/>
      <x:c r="I434" s="100"/>
      <x:c r="J434" s="99"/>
      <x:c r="K434" s="99"/>
      <x:c r="L434" s="99"/>
      <x:c r="M434" s="99"/>
      <x:c r="N434" s="99"/>
      <x:c r="O434" s="96" t="str">
        <x:f>IF(E434="","",IF(E434="Small",IF(OR(F434="",G434="",H434=""),"",IF(AND(F434="Yes",G434="Small",H434="Skip"),"Yes","No")),IF(OR(E434="Normal",E434="Large"),IF(OR(F434="",G434="",H434="",K434="",L434="",M434="",N434=""),"",IF(AND(F434="Yes",G434=E434,H434="Pick",K434="Yes",L434="No",M434=IF(E434="Normal","Normal_Bin","Large_Bin"),N434="Yes"),"Yes","No")),"")))</x:f>
      </x:c>
      <x:c r="P434" s="99"/>
      <x:c r="Q434" s="101"/>
      <x:c r="R434" s="102"/>
    </x:row>
    <x:row r="435">
      <x:c r="A435" s="97"/>
      <x:c r="B435" s="98"/>
      <x:c r="C435" s="97"/>
      <x:c r="D435" s="96" t="str">
        <x:f>IF(OR(A435="",B435="",E435=""),"","R"&amp;TEXT(A435,"00")&amp;"-"&amp;B435&amp;"-"&amp;LEFT(E435,1)&amp;IF(COUNTIFS($A$2:A435,A435,$B$2:B435,B435,$E$2:E435,E435)&gt;1,"-"&amp;COUNTIFS($A$2:A435,A435,$B$2:B435,B435,$E$2:E435,E435),""))</x:f>
      </x:c>
      <x:c r="E435" s="99"/>
      <x:c r="F435" s="99"/>
      <x:c r="G435" s="99"/>
      <x:c r="H435" s="99"/>
      <x:c r="I435" s="100"/>
      <x:c r="J435" s="99"/>
      <x:c r="K435" s="99"/>
      <x:c r="L435" s="99"/>
      <x:c r="M435" s="99"/>
      <x:c r="N435" s="99"/>
      <x:c r="O435" s="96" t="str">
        <x:f>IF(E435="","",IF(E435="Small",IF(OR(F435="",G435="",H435=""),"",IF(AND(F435="Yes",G435="Small",H435="Skip"),"Yes","No")),IF(OR(E435="Normal",E435="Large"),IF(OR(F435="",G435="",H435="",K435="",L435="",M435="",N435=""),"",IF(AND(F435="Yes",G435=E435,H435="Pick",K435="Yes",L435="No",M435=IF(E435="Normal","Normal_Bin","Large_Bin"),N435="Yes"),"Yes","No")),"")))</x:f>
      </x:c>
      <x:c r="P435" s="99"/>
      <x:c r="Q435" s="101"/>
      <x:c r="R435" s="102"/>
    </x:row>
    <x:row r="436">
      <x:c r="A436" s="97"/>
      <x:c r="B436" s="98"/>
      <x:c r="C436" s="97"/>
      <x:c r="D436" s="96" t="str">
        <x:f>IF(OR(A436="",B436="",E436=""),"","R"&amp;TEXT(A436,"00")&amp;"-"&amp;B436&amp;"-"&amp;LEFT(E436,1)&amp;IF(COUNTIFS($A$2:A436,A436,$B$2:B436,B436,$E$2:E436,E436)&gt;1,"-"&amp;COUNTIFS($A$2:A436,A436,$B$2:B436,B436,$E$2:E436,E436),""))</x:f>
      </x:c>
      <x:c r="E436" s="99"/>
      <x:c r="F436" s="99"/>
      <x:c r="G436" s="99"/>
      <x:c r="H436" s="99"/>
      <x:c r="I436" s="100"/>
      <x:c r="J436" s="99"/>
      <x:c r="K436" s="99"/>
      <x:c r="L436" s="99"/>
      <x:c r="M436" s="99"/>
      <x:c r="N436" s="99"/>
      <x:c r="O436" s="96" t="str">
        <x:f>IF(E436="","",IF(E436="Small",IF(OR(F436="",G436="",H436=""),"",IF(AND(F436="Yes",G436="Small",H436="Skip"),"Yes","No")),IF(OR(E436="Normal",E436="Large"),IF(OR(F436="",G436="",H436="",K436="",L436="",M436="",N436=""),"",IF(AND(F436="Yes",G436=E436,H436="Pick",K436="Yes",L436="No",M436=IF(E436="Normal","Normal_Bin","Large_Bin"),N436="Yes"),"Yes","No")),"")))</x:f>
      </x:c>
      <x:c r="P436" s="99"/>
      <x:c r="Q436" s="101"/>
      <x:c r="R436" s="102"/>
    </x:row>
    <x:row r="437">
      <x:c r="A437" s="97"/>
      <x:c r="B437" s="98"/>
      <x:c r="C437" s="97"/>
      <x:c r="D437" s="96" t="str">
        <x:f>IF(OR(A437="",B437="",E437=""),"","R"&amp;TEXT(A437,"00")&amp;"-"&amp;B437&amp;"-"&amp;LEFT(E437,1)&amp;IF(COUNTIFS($A$2:A437,A437,$B$2:B437,B437,$E$2:E437,E437)&gt;1,"-"&amp;COUNTIFS($A$2:A437,A437,$B$2:B437,B437,$E$2:E437,E437),""))</x:f>
      </x:c>
      <x:c r="E437" s="99"/>
      <x:c r="F437" s="99"/>
      <x:c r="G437" s="99"/>
      <x:c r="H437" s="99"/>
      <x:c r="I437" s="100"/>
      <x:c r="J437" s="99"/>
      <x:c r="K437" s="99"/>
      <x:c r="L437" s="99"/>
      <x:c r="M437" s="99"/>
      <x:c r="N437" s="99"/>
      <x:c r="O437" s="96" t="str">
        <x:f>IF(E437="","",IF(E437="Small",IF(OR(F437="",G437="",H437=""),"",IF(AND(F437="Yes",G437="Small",H437="Skip"),"Yes","No")),IF(OR(E437="Normal",E437="Large"),IF(OR(F437="",G437="",H437="",K437="",L437="",M437="",N437=""),"",IF(AND(F437="Yes",G437=E437,H437="Pick",K437="Yes",L437="No",M437=IF(E437="Normal","Normal_Bin","Large_Bin"),N437="Yes"),"Yes","No")),"")))</x:f>
      </x:c>
      <x:c r="P437" s="99"/>
      <x:c r="Q437" s="101"/>
      <x:c r="R437" s="102"/>
    </x:row>
    <x:row r="438">
      <x:c r="A438" s="97"/>
      <x:c r="B438" s="98"/>
      <x:c r="C438" s="97"/>
      <x:c r="D438" s="96" t="str">
        <x:f>IF(OR(A438="",B438="",E438=""),"","R"&amp;TEXT(A438,"00")&amp;"-"&amp;B438&amp;"-"&amp;LEFT(E438,1)&amp;IF(COUNTIFS($A$2:A438,A438,$B$2:B438,B438,$E$2:E438,E438)&gt;1,"-"&amp;COUNTIFS($A$2:A438,A438,$B$2:B438,B438,$E$2:E438,E438),""))</x:f>
      </x:c>
      <x:c r="E438" s="99"/>
      <x:c r="F438" s="99"/>
      <x:c r="G438" s="99"/>
      <x:c r="H438" s="99"/>
      <x:c r="I438" s="100"/>
      <x:c r="J438" s="99"/>
      <x:c r="K438" s="99"/>
      <x:c r="L438" s="99"/>
      <x:c r="M438" s="99"/>
      <x:c r="N438" s="99"/>
      <x:c r="O438" s="96" t="str">
        <x:f>IF(E438="","",IF(E438="Small",IF(OR(F438="",G438="",H438=""),"",IF(AND(F438="Yes",G438="Small",H438="Skip"),"Yes","No")),IF(OR(E438="Normal",E438="Large"),IF(OR(F438="",G438="",H438="",K438="",L438="",M438="",N438=""),"",IF(AND(F438="Yes",G438=E438,H438="Pick",K438="Yes",L438="No",M438=IF(E438="Normal","Normal_Bin","Large_Bin"),N438="Yes"),"Yes","No")),"")))</x:f>
      </x:c>
      <x:c r="P438" s="99"/>
      <x:c r="Q438" s="101"/>
      <x:c r="R438" s="102"/>
    </x:row>
    <x:row r="439">
      <x:c r="A439" s="97"/>
      <x:c r="B439" s="98"/>
      <x:c r="C439" s="97"/>
      <x:c r="D439" s="96" t="str">
        <x:f>IF(OR(A439="",B439="",E439=""),"","R"&amp;TEXT(A439,"00")&amp;"-"&amp;B439&amp;"-"&amp;LEFT(E439,1)&amp;IF(COUNTIFS($A$2:A439,A439,$B$2:B439,B439,$E$2:E439,E439)&gt;1,"-"&amp;COUNTIFS($A$2:A439,A439,$B$2:B439,B439,$E$2:E439,E439),""))</x:f>
      </x:c>
      <x:c r="E439" s="99"/>
      <x:c r="F439" s="99"/>
      <x:c r="G439" s="99"/>
      <x:c r="H439" s="99"/>
      <x:c r="I439" s="100"/>
      <x:c r="J439" s="99"/>
      <x:c r="K439" s="99"/>
      <x:c r="L439" s="99"/>
      <x:c r="M439" s="99"/>
      <x:c r="N439" s="99"/>
      <x:c r="O439" s="96" t="str">
        <x:f>IF(E439="","",IF(E439="Small",IF(OR(F439="",G439="",H439=""),"",IF(AND(F439="Yes",G439="Small",H439="Skip"),"Yes","No")),IF(OR(E439="Normal",E439="Large"),IF(OR(F439="",G439="",H439="",K439="",L439="",M439="",N439=""),"",IF(AND(F439="Yes",G439=E439,H439="Pick",K439="Yes",L439="No",M439=IF(E439="Normal","Normal_Bin","Large_Bin"),N439="Yes"),"Yes","No")),"")))</x:f>
      </x:c>
      <x:c r="P439" s="99"/>
      <x:c r="Q439" s="101"/>
      <x:c r="R439" s="102"/>
    </x:row>
    <x:row r="440">
      <x:c r="A440" s="97"/>
      <x:c r="B440" s="98"/>
      <x:c r="C440" s="97"/>
      <x:c r="D440" s="96" t="str">
        <x:f>IF(OR(A440="",B440="",E440=""),"","R"&amp;TEXT(A440,"00")&amp;"-"&amp;B440&amp;"-"&amp;LEFT(E440,1)&amp;IF(COUNTIFS($A$2:A440,A440,$B$2:B440,B440,$E$2:E440,E440)&gt;1,"-"&amp;COUNTIFS($A$2:A440,A440,$B$2:B440,B440,$E$2:E440,E440),""))</x:f>
      </x:c>
      <x:c r="E440" s="99"/>
      <x:c r="F440" s="99"/>
      <x:c r="G440" s="99"/>
      <x:c r="H440" s="99"/>
      <x:c r="I440" s="100"/>
      <x:c r="J440" s="99"/>
      <x:c r="K440" s="99"/>
      <x:c r="L440" s="99"/>
      <x:c r="M440" s="99"/>
      <x:c r="N440" s="99"/>
      <x:c r="O440" s="96" t="str">
        <x:f>IF(E440="","",IF(E440="Small",IF(OR(F440="",G440="",H440=""),"",IF(AND(F440="Yes",G440="Small",H440="Skip"),"Yes","No")),IF(OR(E440="Normal",E440="Large"),IF(OR(F440="",G440="",H440="",K440="",L440="",M440="",N440=""),"",IF(AND(F440="Yes",G440=E440,H440="Pick",K440="Yes",L440="No",M440=IF(E440="Normal","Normal_Bin","Large_Bin"),N440="Yes"),"Yes","No")),"")))</x:f>
      </x:c>
      <x:c r="P440" s="99"/>
      <x:c r="Q440" s="101"/>
      <x:c r="R440" s="102"/>
    </x:row>
    <x:row r="441">
      <x:c r="A441" s="97"/>
      <x:c r="B441" s="98"/>
      <x:c r="C441" s="97"/>
      <x:c r="D441" s="96" t="str">
        <x:f>IF(OR(A441="",B441="",E441=""),"","R"&amp;TEXT(A441,"00")&amp;"-"&amp;B441&amp;"-"&amp;LEFT(E441,1)&amp;IF(COUNTIFS($A$2:A441,A441,$B$2:B441,B441,$E$2:E441,E441)&gt;1,"-"&amp;COUNTIFS($A$2:A441,A441,$B$2:B441,B441,$E$2:E441,E441),""))</x:f>
      </x:c>
      <x:c r="E441" s="99"/>
      <x:c r="F441" s="99"/>
      <x:c r="G441" s="99"/>
      <x:c r="H441" s="99"/>
      <x:c r="I441" s="100"/>
      <x:c r="J441" s="99"/>
      <x:c r="K441" s="99"/>
      <x:c r="L441" s="99"/>
      <x:c r="M441" s="99"/>
      <x:c r="N441" s="99"/>
      <x:c r="O441" s="96" t="str">
        <x:f>IF(E441="","",IF(E441="Small",IF(OR(F441="",G441="",H441=""),"",IF(AND(F441="Yes",G441="Small",H441="Skip"),"Yes","No")),IF(OR(E441="Normal",E441="Large"),IF(OR(F441="",G441="",H441="",K441="",L441="",M441="",N441=""),"",IF(AND(F441="Yes",G441=E441,H441="Pick",K441="Yes",L441="No",M441=IF(E441="Normal","Normal_Bin","Large_Bin"),N441="Yes"),"Yes","No")),"")))</x:f>
      </x:c>
      <x:c r="P441" s="99"/>
      <x:c r="Q441" s="101"/>
      <x:c r="R441" s="102"/>
    </x:row>
    <x:row r="442">
      <x:c r="A442" s="97"/>
      <x:c r="B442" s="98"/>
      <x:c r="C442" s="97"/>
      <x:c r="D442" s="96" t="str">
        <x:f>IF(OR(A442="",B442="",E442=""),"","R"&amp;TEXT(A442,"00")&amp;"-"&amp;B442&amp;"-"&amp;LEFT(E442,1)&amp;IF(COUNTIFS($A$2:A442,A442,$B$2:B442,B442,$E$2:E442,E442)&gt;1,"-"&amp;COUNTIFS($A$2:A442,A442,$B$2:B442,B442,$E$2:E442,E442),""))</x:f>
      </x:c>
      <x:c r="E442" s="99"/>
      <x:c r="F442" s="99"/>
      <x:c r="G442" s="99"/>
      <x:c r="H442" s="99"/>
      <x:c r="I442" s="100"/>
      <x:c r="J442" s="99"/>
      <x:c r="K442" s="99"/>
      <x:c r="L442" s="99"/>
      <x:c r="M442" s="99"/>
      <x:c r="N442" s="99"/>
      <x:c r="O442" s="96" t="str">
        <x:f>IF(E442="","",IF(E442="Small",IF(OR(F442="",G442="",H442=""),"",IF(AND(F442="Yes",G442="Small",H442="Skip"),"Yes","No")),IF(OR(E442="Normal",E442="Large"),IF(OR(F442="",G442="",H442="",K442="",L442="",M442="",N442=""),"",IF(AND(F442="Yes",G442=E442,H442="Pick",K442="Yes",L442="No",M442=IF(E442="Normal","Normal_Bin","Large_Bin"),N442="Yes"),"Yes","No")),"")))</x:f>
      </x:c>
      <x:c r="P442" s="99"/>
      <x:c r="Q442" s="101"/>
      <x:c r="R442" s="102"/>
    </x:row>
    <x:row r="443">
      <x:c r="A443" s="97"/>
      <x:c r="B443" s="98"/>
      <x:c r="C443" s="97"/>
      <x:c r="D443" s="96" t="str">
        <x:f>IF(OR(A443="",B443="",E443=""),"","R"&amp;TEXT(A443,"00")&amp;"-"&amp;B443&amp;"-"&amp;LEFT(E443,1)&amp;IF(COUNTIFS($A$2:A443,A443,$B$2:B443,B443,$E$2:E443,E443)&gt;1,"-"&amp;COUNTIFS($A$2:A443,A443,$B$2:B443,B443,$E$2:E443,E443),""))</x:f>
      </x:c>
      <x:c r="E443" s="99"/>
      <x:c r="F443" s="99"/>
      <x:c r="G443" s="99"/>
      <x:c r="H443" s="99"/>
      <x:c r="I443" s="100"/>
      <x:c r="J443" s="99"/>
      <x:c r="K443" s="99"/>
      <x:c r="L443" s="99"/>
      <x:c r="M443" s="99"/>
      <x:c r="N443" s="99"/>
      <x:c r="O443" s="96" t="str">
        <x:f>IF(E443="","",IF(E443="Small",IF(OR(F443="",G443="",H443=""),"",IF(AND(F443="Yes",G443="Small",H443="Skip"),"Yes","No")),IF(OR(E443="Normal",E443="Large"),IF(OR(F443="",G443="",H443="",K443="",L443="",M443="",N443=""),"",IF(AND(F443="Yes",G443=E443,H443="Pick",K443="Yes",L443="No",M443=IF(E443="Normal","Normal_Bin","Large_Bin"),N443="Yes"),"Yes","No")),"")))</x:f>
      </x:c>
      <x:c r="P443" s="99"/>
      <x:c r="Q443" s="101"/>
      <x:c r="R443" s="102"/>
    </x:row>
    <x:row r="444">
      <x:c r="A444" s="97"/>
      <x:c r="B444" s="98"/>
      <x:c r="C444" s="97"/>
      <x:c r="D444" s="96" t="str">
        <x:f>IF(OR(A444="",B444="",E444=""),"","R"&amp;TEXT(A444,"00")&amp;"-"&amp;B444&amp;"-"&amp;LEFT(E444,1)&amp;IF(COUNTIFS($A$2:A444,A444,$B$2:B444,B444,$E$2:E444,E444)&gt;1,"-"&amp;COUNTIFS($A$2:A444,A444,$B$2:B444,B444,$E$2:E444,E444),""))</x:f>
      </x:c>
      <x:c r="E444" s="99"/>
      <x:c r="F444" s="99"/>
      <x:c r="G444" s="99"/>
      <x:c r="H444" s="99"/>
      <x:c r="I444" s="100"/>
      <x:c r="J444" s="99"/>
      <x:c r="K444" s="99"/>
      <x:c r="L444" s="99"/>
      <x:c r="M444" s="99"/>
      <x:c r="N444" s="99"/>
      <x:c r="O444" s="96" t="str">
        <x:f>IF(E444="","",IF(E444="Small",IF(OR(F444="",G444="",H444=""),"",IF(AND(F444="Yes",G444="Small",H444="Skip"),"Yes","No")),IF(OR(E444="Normal",E444="Large"),IF(OR(F444="",G444="",H444="",K444="",L444="",M444="",N444=""),"",IF(AND(F444="Yes",G444=E444,H444="Pick",K444="Yes",L444="No",M444=IF(E444="Normal","Normal_Bin","Large_Bin"),N444="Yes"),"Yes","No")),"")))</x:f>
      </x:c>
      <x:c r="P444" s="99"/>
      <x:c r="Q444" s="101"/>
      <x:c r="R444" s="102"/>
    </x:row>
    <x:row r="445">
      <x:c r="A445" s="97"/>
      <x:c r="B445" s="98"/>
      <x:c r="C445" s="97"/>
      <x:c r="D445" s="96" t="str">
        <x:f>IF(OR(A445="",B445="",E445=""),"","R"&amp;TEXT(A445,"00")&amp;"-"&amp;B445&amp;"-"&amp;LEFT(E445,1)&amp;IF(COUNTIFS($A$2:A445,A445,$B$2:B445,B445,$E$2:E445,E445)&gt;1,"-"&amp;COUNTIFS($A$2:A445,A445,$B$2:B445,B445,$E$2:E445,E445),""))</x:f>
      </x:c>
      <x:c r="E445" s="99"/>
      <x:c r="F445" s="99"/>
      <x:c r="G445" s="99"/>
      <x:c r="H445" s="99"/>
      <x:c r="I445" s="100"/>
      <x:c r="J445" s="99"/>
      <x:c r="K445" s="99"/>
      <x:c r="L445" s="99"/>
      <x:c r="M445" s="99"/>
      <x:c r="N445" s="99"/>
      <x:c r="O445" s="96" t="str">
        <x:f>IF(E445="","",IF(E445="Small",IF(OR(F445="",G445="",H445=""),"",IF(AND(F445="Yes",G445="Small",H445="Skip"),"Yes","No")),IF(OR(E445="Normal",E445="Large"),IF(OR(F445="",G445="",H445="",K445="",L445="",M445="",N445=""),"",IF(AND(F445="Yes",G445=E445,H445="Pick",K445="Yes",L445="No",M445=IF(E445="Normal","Normal_Bin","Large_Bin"),N445="Yes"),"Yes","No")),"")))</x:f>
      </x:c>
      <x:c r="P445" s="99"/>
      <x:c r="Q445" s="101"/>
      <x:c r="R445" s="102"/>
    </x:row>
    <x:row r="446">
      <x:c r="A446" s="97"/>
      <x:c r="B446" s="98"/>
      <x:c r="C446" s="97"/>
      <x:c r="D446" s="96" t="str">
        <x:f>IF(OR(A446="",B446="",E446=""),"","R"&amp;TEXT(A446,"00")&amp;"-"&amp;B446&amp;"-"&amp;LEFT(E446,1)&amp;IF(COUNTIFS($A$2:A446,A446,$B$2:B446,B446,$E$2:E446,E446)&gt;1,"-"&amp;COUNTIFS($A$2:A446,A446,$B$2:B446,B446,$E$2:E446,E446),""))</x:f>
      </x:c>
      <x:c r="E446" s="99"/>
      <x:c r="F446" s="99"/>
      <x:c r="G446" s="99"/>
      <x:c r="H446" s="99"/>
      <x:c r="I446" s="100"/>
      <x:c r="J446" s="99"/>
      <x:c r="K446" s="99"/>
      <x:c r="L446" s="99"/>
      <x:c r="M446" s="99"/>
      <x:c r="N446" s="99"/>
      <x:c r="O446" s="96" t="str">
        <x:f>IF(E446="","",IF(E446="Small",IF(OR(F446="",G446="",H446=""),"",IF(AND(F446="Yes",G446="Small",H446="Skip"),"Yes","No")),IF(OR(E446="Normal",E446="Large"),IF(OR(F446="",G446="",H446="",K446="",L446="",M446="",N446=""),"",IF(AND(F446="Yes",G446=E446,H446="Pick",K446="Yes",L446="No",M446=IF(E446="Normal","Normal_Bin","Large_Bin"),N446="Yes"),"Yes","No")),"")))</x:f>
      </x:c>
      <x:c r="P446" s="99"/>
      <x:c r="Q446" s="101"/>
      <x:c r="R446" s="102"/>
    </x:row>
    <x:row r="447">
      <x:c r="A447" s="97"/>
      <x:c r="B447" s="98"/>
      <x:c r="C447" s="97"/>
      <x:c r="D447" s="96" t="str">
        <x:f>IF(OR(A447="",B447="",E447=""),"","R"&amp;TEXT(A447,"00")&amp;"-"&amp;B447&amp;"-"&amp;LEFT(E447,1)&amp;IF(COUNTIFS($A$2:A447,A447,$B$2:B447,B447,$E$2:E447,E447)&gt;1,"-"&amp;COUNTIFS($A$2:A447,A447,$B$2:B447,B447,$E$2:E447,E447),""))</x:f>
      </x:c>
      <x:c r="E447" s="99"/>
      <x:c r="F447" s="99"/>
      <x:c r="G447" s="99"/>
      <x:c r="H447" s="99"/>
      <x:c r="I447" s="100"/>
      <x:c r="J447" s="99"/>
      <x:c r="K447" s="99"/>
      <x:c r="L447" s="99"/>
      <x:c r="M447" s="99"/>
      <x:c r="N447" s="99"/>
      <x:c r="O447" s="96" t="str">
        <x:f>IF(E447="","",IF(E447="Small",IF(OR(F447="",G447="",H447=""),"",IF(AND(F447="Yes",G447="Small",H447="Skip"),"Yes","No")),IF(OR(E447="Normal",E447="Large"),IF(OR(F447="",G447="",H447="",K447="",L447="",M447="",N447=""),"",IF(AND(F447="Yes",G447=E447,H447="Pick",K447="Yes",L447="No",M447=IF(E447="Normal","Normal_Bin","Large_Bin"),N447="Yes"),"Yes","No")),"")))</x:f>
      </x:c>
      <x:c r="P447" s="99"/>
      <x:c r="Q447" s="101"/>
      <x:c r="R447" s="102"/>
    </x:row>
    <x:row r="448">
      <x:c r="A448" s="97"/>
      <x:c r="B448" s="98"/>
      <x:c r="C448" s="97"/>
      <x:c r="D448" s="96" t="str">
        <x:f>IF(OR(A448="",B448="",E448=""),"","R"&amp;TEXT(A448,"00")&amp;"-"&amp;B448&amp;"-"&amp;LEFT(E448,1)&amp;IF(COUNTIFS($A$2:A448,A448,$B$2:B448,B448,$E$2:E448,E448)&gt;1,"-"&amp;COUNTIFS($A$2:A448,A448,$B$2:B448,B448,$E$2:E448,E448),""))</x:f>
      </x:c>
      <x:c r="E448" s="99"/>
      <x:c r="F448" s="99"/>
      <x:c r="G448" s="99"/>
      <x:c r="H448" s="99"/>
      <x:c r="I448" s="100"/>
      <x:c r="J448" s="99"/>
      <x:c r="K448" s="99"/>
      <x:c r="L448" s="99"/>
      <x:c r="M448" s="99"/>
      <x:c r="N448" s="99"/>
      <x:c r="O448" s="96" t="str">
        <x:f>IF(E448="","",IF(E448="Small",IF(OR(F448="",G448="",H448=""),"",IF(AND(F448="Yes",G448="Small",H448="Skip"),"Yes","No")),IF(OR(E448="Normal",E448="Large"),IF(OR(F448="",G448="",H448="",K448="",L448="",M448="",N448=""),"",IF(AND(F448="Yes",G448=E448,H448="Pick",K448="Yes",L448="No",M448=IF(E448="Normal","Normal_Bin","Large_Bin"),N448="Yes"),"Yes","No")),"")))</x:f>
      </x:c>
      <x:c r="P448" s="99"/>
      <x:c r="Q448" s="101"/>
      <x:c r="R448" s="102"/>
    </x:row>
    <x:row r="449">
      <x:c r="A449" s="97"/>
      <x:c r="B449" s="98"/>
      <x:c r="C449" s="97"/>
      <x:c r="D449" s="96" t="str">
        <x:f>IF(OR(A449="",B449="",E449=""),"","R"&amp;TEXT(A449,"00")&amp;"-"&amp;B449&amp;"-"&amp;LEFT(E449,1)&amp;IF(COUNTIFS($A$2:A449,A449,$B$2:B449,B449,$E$2:E449,E449)&gt;1,"-"&amp;COUNTIFS($A$2:A449,A449,$B$2:B449,B449,$E$2:E449,E449),""))</x:f>
      </x:c>
      <x:c r="E449" s="99"/>
      <x:c r="F449" s="99"/>
      <x:c r="G449" s="99"/>
      <x:c r="H449" s="99"/>
      <x:c r="I449" s="100"/>
      <x:c r="J449" s="99"/>
      <x:c r="K449" s="99"/>
      <x:c r="L449" s="99"/>
      <x:c r="M449" s="99"/>
      <x:c r="N449" s="99"/>
      <x:c r="O449" s="96" t="str">
        <x:f>IF(E449="","",IF(E449="Small",IF(OR(F449="",G449="",H449=""),"",IF(AND(F449="Yes",G449="Small",H449="Skip"),"Yes","No")),IF(OR(E449="Normal",E449="Large"),IF(OR(F449="",G449="",H449="",K449="",L449="",M449="",N449=""),"",IF(AND(F449="Yes",G449=E449,H449="Pick",K449="Yes",L449="No",M449=IF(E449="Normal","Normal_Bin","Large_Bin"),N449="Yes"),"Yes","No")),"")))</x:f>
      </x:c>
      <x:c r="P449" s="99"/>
      <x:c r="Q449" s="101"/>
      <x:c r="R449" s="102"/>
    </x:row>
    <x:row r="450">
      <x:c r="A450" s="97"/>
      <x:c r="B450" s="98"/>
      <x:c r="C450" s="97"/>
      <x:c r="D450" s="96" t="str">
        <x:f>IF(OR(A450="",B450="",E450=""),"","R"&amp;TEXT(A450,"00")&amp;"-"&amp;B450&amp;"-"&amp;LEFT(E450,1)&amp;IF(COUNTIFS($A$2:A450,A450,$B$2:B450,B450,$E$2:E450,E450)&gt;1,"-"&amp;COUNTIFS($A$2:A450,A450,$B$2:B450,B450,$E$2:E450,E450),""))</x:f>
      </x:c>
      <x:c r="E450" s="99"/>
      <x:c r="F450" s="99"/>
      <x:c r="G450" s="99"/>
      <x:c r="H450" s="99"/>
      <x:c r="I450" s="100"/>
      <x:c r="J450" s="99"/>
      <x:c r="K450" s="99"/>
      <x:c r="L450" s="99"/>
      <x:c r="M450" s="99"/>
      <x:c r="N450" s="99"/>
      <x:c r="O450" s="96" t="str">
        <x:f>IF(E450="","",IF(E450="Small",IF(OR(F450="",G450="",H450=""),"",IF(AND(F450="Yes",G450="Small",H450="Skip"),"Yes","No")),IF(OR(E450="Normal",E450="Large"),IF(OR(F450="",G450="",H450="",K450="",L450="",M450="",N450=""),"",IF(AND(F450="Yes",G450=E450,H450="Pick",K450="Yes",L450="No",M450=IF(E450="Normal","Normal_Bin","Large_Bin"),N450="Yes"),"Yes","No")),"")))</x:f>
      </x:c>
      <x:c r="P450" s="99"/>
      <x:c r="Q450" s="101"/>
      <x:c r="R450" s="102"/>
    </x:row>
    <x:row r="451">
      <x:c r="A451" s="97"/>
      <x:c r="B451" s="98"/>
      <x:c r="C451" s="97"/>
      <x:c r="D451" s="96" t="str">
        <x:f>IF(OR(A451="",B451="",E451=""),"","R"&amp;TEXT(A451,"00")&amp;"-"&amp;B451&amp;"-"&amp;LEFT(E451,1)&amp;IF(COUNTIFS($A$2:A451,A451,$B$2:B451,B451,$E$2:E451,E451)&gt;1,"-"&amp;COUNTIFS($A$2:A451,A451,$B$2:B451,B451,$E$2:E451,E451),""))</x:f>
      </x:c>
      <x:c r="E451" s="99"/>
      <x:c r="F451" s="99"/>
      <x:c r="G451" s="99"/>
      <x:c r="H451" s="99"/>
      <x:c r="I451" s="100"/>
      <x:c r="J451" s="99"/>
      <x:c r="K451" s="99"/>
      <x:c r="L451" s="99"/>
      <x:c r="M451" s="99"/>
      <x:c r="N451" s="99"/>
      <x:c r="O451" s="96" t="str">
        <x:f>IF(E451="","",IF(E451="Small",IF(OR(F451="",G451="",H451=""),"",IF(AND(F451="Yes",G451="Small",H451="Skip"),"Yes","No")),IF(OR(E451="Normal",E451="Large"),IF(OR(F451="",G451="",H451="",K451="",L451="",M451="",N451=""),"",IF(AND(F451="Yes",G451=E451,H451="Pick",K451="Yes",L451="No",M451=IF(E451="Normal","Normal_Bin","Large_Bin"),N451="Yes"),"Yes","No")),"")))</x:f>
      </x:c>
      <x:c r="P451" s="99"/>
      <x:c r="Q451" s="101"/>
      <x:c r="R451" s="102"/>
    </x:row>
    <x:row r="452">
      <x:c r="A452" s="97"/>
      <x:c r="B452" s="98"/>
      <x:c r="C452" s="97"/>
      <x:c r="D452" s="96" t="str">
        <x:f>IF(OR(A452="",B452="",E452=""),"","R"&amp;TEXT(A452,"00")&amp;"-"&amp;B452&amp;"-"&amp;LEFT(E452,1)&amp;IF(COUNTIFS($A$2:A452,A452,$B$2:B452,B452,$E$2:E452,E452)&gt;1,"-"&amp;COUNTIFS($A$2:A452,A452,$B$2:B452,B452,$E$2:E452,E452),""))</x:f>
      </x:c>
      <x:c r="E452" s="99"/>
      <x:c r="F452" s="99"/>
      <x:c r="G452" s="99"/>
      <x:c r="H452" s="99"/>
      <x:c r="I452" s="100"/>
      <x:c r="J452" s="99"/>
      <x:c r="K452" s="99"/>
      <x:c r="L452" s="99"/>
      <x:c r="M452" s="99"/>
      <x:c r="N452" s="99"/>
      <x:c r="O452" s="96" t="str">
        <x:f>IF(E452="","",IF(E452="Small",IF(OR(F452="",G452="",H452=""),"",IF(AND(F452="Yes",G452="Small",H452="Skip"),"Yes","No")),IF(OR(E452="Normal",E452="Large"),IF(OR(F452="",G452="",H452="",K452="",L452="",M452="",N452=""),"",IF(AND(F452="Yes",G452=E452,H452="Pick",K452="Yes",L452="No",M452=IF(E452="Normal","Normal_Bin","Large_Bin"),N452="Yes"),"Yes","No")),"")))</x:f>
      </x:c>
      <x:c r="P452" s="99"/>
      <x:c r="Q452" s="101"/>
      <x:c r="R452" s="102"/>
    </x:row>
    <x:row r="453">
      <x:c r="A453" s="97"/>
      <x:c r="B453" s="98"/>
      <x:c r="C453" s="97"/>
      <x:c r="D453" s="96" t="str">
        <x:f>IF(OR(A453="",B453="",E453=""),"","R"&amp;TEXT(A453,"00")&amp;"-"&amp;B453&amp;"-"&amp;LEFT(E453,1)&amp;IF(COUNTIFS($A$2:A453,A453,$B$2:B453,B453,$E$2:E453,E453)&gt;1,"-"&amp;COUNTIFS($A$2:A453,A453,$B$2:B453,B453,$E$2:E453,E453),""))</x:f>
      </x:c>
      <x:c r="E453" s="99"/>
      <x:c r="F453" s="99"/>
      <x:c r="G453" s="99"/>
      <x:c r="H453" s="99"/>
      <x:c r="I453" s="100"/>
      <x:c r="J453" s="99"/>
      <x:c r="K453" s="99"/>
      <x:c r="L453" s="99"/>
      <x:c r="M453" s="99"/>
      <x:c r="N453" s="99"/>
      <x:c r="O453" s="96" t="str">
        <x:f>IF(E453="","",IF(E453="Small",IF(OR(F453="",G453="",H453=""),"",IF(AND(F453="Yes",G453="Small",H453="Skip"),"Yes","No")),IF(OR(E453="Normal",E453="Large"),IF(OR(F453="",G453="",H453="",K453="",L453="",M453="",N453=""),"",IF(AND(F453="Yes",G453=E453,H453="Pick",K453="Yes",L453="No",M453=IF(E453="Normal","Normal_Bin","Large_Bin"),N453="Yes"),"Yes","No")),"")))</x:f>
      </x:c>
      <x:c r="P453" s="99"/>
      <x:c r="Q453" s="101"/>
      <x:c r="R453" s="102"/>
    </x:row>
    <x:row r="454">
      <x:c r="A454" s="97"/>
      <x:c r="B454" s="98"/>
      <x:c r="C454" s="97"/>
      <x:c r="D454" s="96" t="str">
        <x:f>IF(OR(A454="",B454="",E454=""),"","R"&amp;TEXT(A454,"00")&amp;"-"&amp;B454&amp;"-"&amp;LEFT(E454,1)&amp;IF(COUNTIFS($A$2:A454,A454,$B$2:B454,B454,$E$2:E454,E454)&gt;1,"-"&amp;COUNTIFS($A$2:A454,A454,$B$2:B454,B454,$E$2:E454,E454),""))</x:f>
      </x:c>
      <x:c r="E454" s="99"/>
      <x:c r="F454" s="99"/>
      <x:c r="G454" s="99"/>
      <x:c r="H454" s="99"/>
      <x:c r="I454" s="100"/>
      <x:c r="J454" s="99"/>
      <x:c r="K454" s="99"/>
      <x:c r="L454" s="99"/>
      <x:c r="M454" s="99"/>
      <x:c r="N454" s="99"/>
      <x:c r="O454" s="96" t="str">
        <x:f>IF(E454="","",IF(E454="Small",IF(OR(F454="",G454="",H454=""),"",IF(AND(F454="Yes",G454="Small",H454="Skip"),"Yes","No")),IF(OR(E454="Normal",E454="Large"),IF(OR(F454="",G454="",H454="",K454="",L454="",M454="",N454=""),"",IF(AND(F454="Yes",G454=E454,H454="Pick",K454="Yes",L454="No",M454=IF(E454="Normal","Normal_Bin","Large_Bin"),N454="Yes"),"Yes","No")),"")))</x:f>
      </x:c>
      <x:c r="P454" s="99"/>
      <x:c r="Q454" s="101"/>
      <x:c r="R454" s="102"/>
    </x:row>
    <x:row r="455">
      <x:c r="A455" s="97"/>
      <x:c r="B455" s="98"/>
      <x:c r="C455" s="97"/>
      <x:c r="D455" s="96" t="str">
        <x:f>IF(OR(A455="",B455="",E455=""),"","R"&amp;TEXT(A455,"00")&amp;"-"&amp;B455&amp;"-"&amp;LEFT(E455,1)&amp;IF(COUNTIFS($A$2:A455,A455,$B$2:B455,B455,$E$2:E455,E455)&gt;1,"-"&amp;COUNTIFS($A$2:A455,A455,$B$2:B455,B455,$E$2:E455,E455),""))</x:f>
      </x:c>
      <x:c r="E455" s="99"/>
      <x:c r="F455" s="99"/>
      <x:c r="G455" s="99"/>
      <x:c r="H455" s="99"/>
      <x:c r="I455" s="100"/>
      <x:c r="J455" s="99"/>
      <x:c r="K455" s="99"/>
      <x:c r="L455" s="99"/>
      <x:c r="M455" s="99"/>
      <x:c r="N455" s="99"/>
      <x:c r="O455" s="96" t="str">
        <x:f>IF(E455="","",IF(E455="Small",IF(OR(F455="",G455="",H455=""),"",IF(AND(F455="Yes",G455="Small",H455="Skip"),"Yes","No")),IF(OR(E455="Normal",E455="Large"),IF(OR(F455="",G455="",H455="",K455="",L455="",M455="",N455=""),"",IF(AND(F455="Yes",G455=E455,H455="Pick",K455="Yes",L455="No",M455=IF(E455="Normal","Normal_Bin","Large_Bin"),N455="Yes"),"Yes","No")),"")))</x:f>
      </x:c>
      <x:c r="P455" s="99"/>
      <x:c r="Q455" s="101"/>
      <x:c r="R455" s="102"/>
    </x:row>
    <x:row r="456">
      <x:c r="A456" s="97"/>
      <x:c r="B456" s="98"/>
      <x:c r="C456" s="97"/>
      <x:c r="D456" s="96" t="str">
        <x:f>IF(OR(A456="",B456="",E456=""),"","R"&amp;TEXT(A456,"00")&amp;"-"&amp;B456&amp;"-"&amp;LEFT(E456,1)&amp;IF(COUNTIFS($A$2:A456,A456,$B$2:B456,B456,$E$2:E456,E456)&gt;1,"-"&amp;COUNTIFS($A$2:A456,A456,$B$2:B456,B456,$E$2:E456,E456),""))</x:f>
      </x:c>
      <x:c r="E456" s="99"/>
      <x:c r="F456" s="99"/>
      <x:c r="G456" s="99"/>
      <x:c r="H456" s="99"/>
      <x:c r="I456" s="100"/>
      <x:c r="J456" s="99"/>
      <x:c r="K456" s="99"/>
      <x:c r="L456" s="99"/>
      <x:c r="M456" s="99"/>
      <x:c r="N456" s="99"/>
      <x:c r="O456" s="96" t="str">
        <x:f>IF(E456="","",IF(E456="Small",IF(OR(F456="",G456="",H456=""),"",IF(AND(F456="Yes",G456="Small",H456="Skip"),"Yes","No")),IF(OR(E456="Normal",E456="Large"),IF(OR(F456="",G456="",H456="",K456="",L456="",M456="",N456=""),"",IF(AND(F456="Yes",G456=E456,H456="Pick",K456="Yes",L456="No",M456=IF(E456="Normal","Normal_Bin","Large_Bin"),N456="Yes"),"Yes","No")),"")))</x:f>
      </x:c>
      <x:c r="P456" s="99"/>
      <x:c r="Q456" s="101"/>
      <x:c r="R456" s="102"/>
    </x:row>
    <x:row r="457">
      <x:c r="A457" s="97"/>
      <x:c r="B457" s="98"/>
      <x:c r="C457" s="97"/>
      <x:c r="D457" s="96" t="str">
        <x:f>IF(OR(A457="",B457="",E457=""),"","R"&amp;TEXT(A457,"00")&amp;"-"&amp;B457&amp;"-"&amp;LEFT(E457,1)&amp;IF(COUNTIFS($A$2:A457,A457,$B$2:B457,B457,$E$2:E457,E457)&gt;1,"-"&amp;COUNTIFS($A$2:A457,A457,$B$2:B457,B457,$E$2:E457,E457),""))</x:f>
      </x:c>
      <x:c r="E457" s="99"/>
      <x:c r="F457" s="99"/>
      <x:c r="G457" s="99"/>
      <x:c r="H457" s="99"/>
      <x:c r="I457" s="100"/>
      <x:c r="J457" s="99"/>
      <x:c r="K457" s="99"/>
      <x:c r="L457" s="99"/>
      <x:c r="M457" s="99"/>
      <x:c r="N457" s="99"/>
      <x:c r="O457" s="96" t="str">
        <x:f>IF(E457="","",IF(E457="Small",IF(OR(F457="",G457="",H457=""),"",IF(AND(F457="Yes",G457="Small",H457="Skip"),"Yes","No")),IF(OR(E457="Normal",E457="Large"),IF(OR(F457="",G457="",H457="",K457="",L457="",M457="",N457=""),"",IF(AND(F457="Yes",G457=E457,H457="Pick",K457="Yes",L457="No",M457=IF(E457="Normal","Normal_Bin","Large_Bin"),N457="Yes"),"Yes","No")),"")))</x:f>
      </x:c>
      <x:c r="P457" s="99"/>
      <x:c r="Q457" s="101"/>
      <x:c r="R457" s="102"/>
    </x:row>
    <x:row r="458">
      <x:c r="A458" s="97"/>
      <x:c r="B458" s="98"/>
      <x:c r="C458" s="97"/>
      <x:c r="D458" s="96" t="str">
        <x:f>IF(OR(A458="",B458="",E458=""),"","R"&amp;TEXT(A458,"00")&amp;"-"&amp;B458&amp;"-"&amp;LEFT(E458,1)&amp;IF(COUNTIFS($A$2:A458,A458,$B$2:B458,B458,$E$2:E458,E458)&gt;1,"-"&amp;COUNTIFS($A$2:A458,A458,$B$2:B458,B458,$E$2:E458,E458),""))</x:f>
      </x:c>
      <x:c r="E458" s="99"/>
      <x:c r="F458" s="99"/>
      <x:c r="G458" s="99"/>
      <x:c r="H458" s="99"/>
      <x:c r="I458" s="100"/>
      <x:c r="J458" s="99"/>
      <x:c r="K458" s="99"/>
      <x:c r="L458" s="99"/>
      <x:c r="M458" s="99"/>
      <x:c r="N458" s="99"/>
      <x:c r="O458" s="96" t="str">
        <x:f>IF(E458="","",IF(E458="Small",IF(OR(F458="",G458="",H458=""),"",IF(AND(F458="Yes",G458="Small",H458="Skip"),"Yes","No")),IF(OR(E458="Normal",E458="Large"),IF(OR(F458="",G458="",H458="",K458="",L458="",M458="",N458=""),"",IF(AND(F458="Yes",G458=E458,H458="Pick",K458="Yes",L458="No",M458=IF(E458="Normal","Normal_Bin","Large_Bin"),N458="Yes"),"Yes","No")),"")))</x:f>
      </x:c>
      <x:c r="P458" s="99"/>
      <x:c r="Q458" s="101"/>
      <x:c r="R458" s="102"/>
    </x:row>
    <x:row r="459">
      <x:c r="A459" s="97"/>
      <x:c r="B459" s="98"/>
      <x:c r="C459" s="97"/>
      <x:c r="D459" s="96" t="str">
        <x:f>IF(OR(A459="",B459="",E459=""),"","R"&amp;TEXT(A459,"00")&amp;"-"&amp;B459&amp;"-"&amp;LEFT(E459,1)&amp;IF(COUNTIFS($A$2:A459,A459,$B$2:B459,B459,$E$2:E459,E459)&gt;1,"-"&amp;COUNTIFS($A$2:A459,A459,$B$2:B459,B459,$E$2:E459,E459),""))</x:f>
      </x:c>
      <x:c r="E459" s="99"/>
      <x:c r="F459" s="99"/>
      <x:c r="G459" s="99"/>
      <x:c r="H459" s="99"/>
      <x:c r="I459" s="100"/>
      <x:c r="J459" s="99"/>
      <x:c r="K459" s="99"/>
      <x:c r="L459" s="99"/>
      <x:c r="M459" s="99"/>
      <x:c r="N459" s="99"/>
      <x:c r="O459" s="96" t="str">
        <x:f>IF(E459="","",IF(E459="Small",IF(OR(F459="",G459="",H459=""),"",IF(AND(F459="Yes",G459="Small",H459="Skip"),"Yes","No")),IF(OR(E459="Normal",E459="Large"),IF(OR(F459="",G459="",H459="",K459="",L459="",M459="",N459=""),"",IF(AND(F459="Yes",G459=E459,H459="Pick",K459="Yes",L459="No",M459=IF(E459="Normal","Normal_Bin","Large_Bin"),N459="Yes"),"Yes","No")),"")))</x:f>
      </x:c>
      <x:c r="P459" s="99"/>
      <x:c r="Q459" s="101"/>
      <x:c r="R459" s="102"/>
    </x:row>
    <x:row r="460">
      <x:c r="A460" s="97"/>
      <x:c r="B460" s="98"/>
      <x:c r="C460" s="97"/>
      <x:c r="D460" s="96" t="str">
        <x:f>IF(OR(A460="",B460="",E460=""),"","R"&amp;TEXT(A460,"00")&amp;"-"&amp;B460&amp;"-"&amp;LEFT(E460,1)&amp;IF(COUNTIFS($A$2:A460,A460,$B$2:B460,B460,$E$2:E460,E460)&gt;1,"-"&amp;COUNTIFS($A$2:A460,A460,$B$2:B460,B460,$E$2:E460,E460),""))</x:f>
      </x:c>
      <x:c r="E460" s="99"/>
      <x:c r="F460" s="99"/>
      <x:c r="G460" s="99"/>
      <x:c r="H460" s="99"/>
      <x:c r="I460" s="100"/>
      <x:c r="J460" s="99"/>
      <x:c r="K460" s="99"/>
      <x:c r="L460" s="99"/>
      <x:c r="M460" s="99"/>
      <x:c r="N460" s="99"/>
      <x:c r="O460" s="96" t="str">
        <x:f>IF(E460="","",IF(E460="Small",IF(OR(F460="",G460="",H460=""),"",IF(AND(F460="Yes",G460="Small",H460="Skip"),"Yes","No")),IF(OR(E460="Normal",E460="Large"),IF(OR(F460="",G460="",H460="",K460="",L460="",M460="",N460=""),"",IF(AND(F460="Yes",G460=E460,H460="Pick",K460="Yes",L460="No",M460=IF(E460="Normal","Normal_Bin","Large_Bin"),N460="Yes"),"Yes","No")),"")))</x:f>
      </x:c>
      <x:c r="P460" s="99"/>
      <x:c r="Q460" s="101"/>
      <x:c r="R460" s="102"/>
    </x:row>
    <x:row r="461">
      <x:c r="A461" s="97"/>
      <x:c r="B461" s="98"/>
      <x:c r="C461" s="97"/>
      <x:c r="D461" s="96" t="str">
        <x:f>IF(OR(A461="",B461="",E461=""),"","R"&amp;TEXT(A461,"00")&amp;"-"&amp;B461&amp;"-"&amp;LEFT(E461,1)&amp;IF(COUNTIFS($A$2:A461,A461,$B$2:B461,B461,$E$2:E461,E461)&gt;1,"-"&amp;COUNTIFS($A$2:A461,A461,$B$2:B461,B461,$E$2:E461,E461),""))</x:f>
      </x:c>
      <x:c r="E461" s="99"/>
      <x:c r="F461" s="99"/>
      <x:c r="G461" s="99"/>
      <x:c r="H461" s="99"/>
      <x:c r="I461" s="100"/>
      <x:c r="J461" s="99"/>
      <x:c r="K461" s="99"/>
      <x:c r="L461" s="99"/>
      <x:c r="M461" s="99"/>
      <x:c r="N461" s="99"/>
      <x:c r="O461" s="96" t="str">
        <x:f>IF(E461="","",IF(E461="Small",IF(OR(F461="",G461="",H461=""),"",IF(AND(F461="Yes",G461="Small",H461="Skip"),"Yes","No")),IF(OR(E461="Normal",E461="Large"),IF(OR(F461="",G461="",H461="",K461="",L461="",M461="",N461=""),"",IF(AND(F461="Yes",G461=E461,H461="Pick",K461="Yes",L461="No",M461=IF(E461="Normal","Normal_Bin","Large_Bin"),N461="Yes"),"Yes","No")),"")))</x:f>
      </x:c>
      <x:c r="P461" s="99"/>
      <x:c r="Q461" s="101"/>
      <x:c r="R461" s="102"/>
    </x:row>
    <x:row r="462">
      <x:c r="A462" s="97"/>
      <x:c r="B462" s="98"/>
      <x:c r="C462" s="97"/>
      <x:c r="D462" s="96" t="str">
        <x:f>IF(OR(A462="",B462="",E462=""),"","R"&amp;TEXT(A462,"00")&amp;"-"&amp;B462&amp;"-"&amp;LEFT(E462,1)&amp;IF(COUNTIFS($A$2:A462,A462,$B$2:B462,B462,$E$2:E462,E462)&gt;1,"-"&amp;COUNTIFS($A$2:A462,A462,$B$2:B462,B462,$E$2:E462,E462),""))</x:f>
      </x:c>
      <x:c r="E462" s="99"/>
      <x:c r="F462" s="99"/>
      <x:c r="G462" s="99"/>
      <x:c r="H462" s="99"/>
      <x:c r="I462" s="100"/>
      <x:c r="J462" s="99"/>
      <x:c r="K462" s="99"/>
      <x:c r="L462" s="99"/>
      <x:c r="M462" s="99"/>
      <x:c r="N462" s="99"/>
      <x:c r="O462" s="96" t="str">
        <x:f>IF(E462="","",IF(E462="Small",IF(OR(F462="",G462="",H462=""),"",IF(AND(F462="Yes",G462="Small",H462="Skip"),"Yes","No")),IF(OR(E462="Normal",E462="Large"),IF(OR(F462="",G462="",H462="",K462="",L462="",M462="",N462=""),"",IF(AND(F462="Yes",G462=E462,H462="Pick",K462="Yes",L462="No",M462=IF(E462="Normal","Normal_Bin","Large_Bin"),N462="Yes"),"Yes","No")),"")))</x:f>
      </x:c>
      <x:c r="P462" s="99"/>
      <x:c r="Q462" s="101"/>
      <x:c r="R462" s="102"/>
    </x:row>
    <x:row r="463">
      <x:c r="A463" s="97"/>
      <x:c r="B463" s="98"/>
      <x:c r="C463" s="97"/>
      <x:c r="D463" s="96" t="str">
        <x:f>IF(OR(A463="",B463="",E463=""),"","R"&amp;TEXT(A463,"00")&amp;"-"&amp;B463&amp;"-"&amp;LEFT(E463,1)&amp;IF(COUNTIFS($A$2:A463,A463,$B$2:B463,B463,$E$2:E463,E463)&gt;1,"-"&amp;COUNTIFS($A$2:A463,A463,$B$2:B463,B463,$E$2:E463,E463),""))</x:f>
      </x:c>
      <x:c r="E463" s="99"/>
      <x:c r="F463" s="99"/>
      <x:c r="G463" s="99"/>
      <x:c r="H463" s="99"/>
      <x:c r="I463" s="100"/>
      <x:c r="J463" s="99"/>
      <x:c r="K463" s="99"/>
      <x:c r="L463" s="99"/>
      <x:c r="M463" s="99"/>
      <x:c r="N463" s="99"/>
      <x:c r="O463" s="96" t="str">
        <x:f>IF(E463="","",IF(E463="Small",IF(OR(F463="",G463="",H463=""),"",IF(AND(F463="Yes",G463="Small",H463="Skip"),"Yes","No")),IF(OR(E463="Normal",E463="Large"),IF(OR(F463="",G463="",H463="",K463="",L463="",M463="",N463=""),"",IF(AND(F463="Yes",G463=E463,H463="Pick",K463="Yes",L463="No",M463=IF(E463="Normal","Normal_Bin","Large_Bin"),N463="Yes"),"Yes","No")),"")))</x:f>
      </x:c>
      <x:c r="P463" s="99"/>
      <x:c r="Q463" s="101"/>
      <x:c r="R463" s="102"/>
    </x:row>
    <x:row r="464">
      <x:c r="A464" s="97"/>
      <x:c r="B464" s="98"/>
      <x:c r="C464" s="97"/>
      <x:c r="D464" s="96" t="str">
        <x:f>IF(OR(A464="",B464="",E464=""),"","R"&amp;TEXT(A464,"00")&amp;"-"&amp;B464&amp;"-"&amp;LEFT(E464,1)&amp;IF(COUNTIFS($A$2:A464,A464,$B$2:B464,B464,$E$2:E464,E464)&gt;1,"-"&amp;COUNTIFS($A$2:A464,A464,$B$2:B464,B464,$E$2:E464,E464),""))</x:f>
      </x:c>
      <x:c r="E464" s="99"/>
      <x:c r="F464" s="99"/>
      <x:c r="G464" s="99"/>
      <x:c r="H464" s="99"/>
      <x:c r="I464" s="100"/>
      <x:c r="J464" s="99"/>
      <x:c r="K464" s="99"/>
      <x:c r="L464" s="99"/>
      <x:c r="M464" s="99"/>
      <x:c r="N464" s="99"/>
      <x:c r="O464" s="96" t="str">
        <x:f>IF(E464="","",IF(E464="Small",IF(OR(F464="",G464="",H464=""),"",IF(AND(F464="Yes",G464="Small",H464="Skip"),"Yes","No")),IF(OR(E464="Normal",E464="Large"),IF(OR(F464="",G464="",H464="",K464="",L464="",M464="",N464=""),"",IF(AND(F464="Yes",G464=E464,H464="Pick",K464="Yes",L464="No",M464=IF(E464="Normal","Normal_Bin","Large_Bin"),N464="Yes"),"Yes","No")),"")))</x:f>
      </x:c>
      <x:c r="P464" s="99"/>
      <x:c r="Q464" s="101"/>
      <x:c r="R464" s="102"/>
    </x:row>
    <x:row r="465">
      <x:c r="A465" s="97"/>
      <x:c r="B465" s="98"/>
      <x:c r="C465" s="97"/>
      <x:c r="D465" s="96" t="str">
        <x:f>IF(OR(A465="",B465="",E465=""),"","R"&amp;TEXT(A465,"00")&amp;"-"&amp;B465&amp;"-"&amp;LEFT(E465,1)&amp;IF(COUNTIFS($A$2:A465,A465,$B$2:B465,B465,$E$2:E465,E465)&gt;1,"-"&amp;COUNTIFS($A$2:A465,A465,$B$2:B465,B465,$E$2:E465,E465),""))</x:f>
      </x:c>
      <x:c r="E465" s="99"/>
      <x:c r="F465" s="99"/>
      <x:c r="G465" s="99"/>
      <x:c r="H465" s="99"/>
      <x:c r="I465" s="100"/>
      <x:c r="J465" s="99"/>
      <x:c r="K465" s="99"/>
      <x:c r="L465" s="99"/>
      <x:c r="M465" s="99"/>
      <x:c r="N465" s="99"/>
      <x:c r="O465" s="96" t="str">
        <x:f>IF(E465="","",IF(E465="Small",IF(OR(F465="",G465="",H465=""),"",IF(AND(F465="Yes",G465="Small",H465="Skip"),"Yes","No")),IF(OR(E465="Normal",E465="Large"),IF(OR(F465="",G465="",H465="",K465="",L465="",M465="",N465=""),"",IF(AND(F465="Yes",G465=E465,H465="Pick",K465="Yes",L465="No",M465=IF(E465="Normal","Normal_Bin","Large_Bin"),N465="Yes"),"Yes","No")),"")))</x:f>
      </x:c>
      <x:c r="P465" s="99"/>
      <x:c r="Q465" s="101"/>
      <x:c r="R465" s="102"/>
    </x:row>
    <x:row r="466">
      <x:c r="A466" s="97"/>
      <x:c r="B466" s="98"/>
      <x:c r="C466" s="97"/>
      <x:c r="D466" s="96" t="str">
        <x:f>IF(OR(A466="",B466="",E466=""),"","R"&amp;TEXT(A466,"00")&amp;"-"&amp;B466&amp;"-"&amp;LEFT(E466,1)&amp;IF(COUNTIFS($A$2:A466,A466,$B$2:B466,B466,$E$2:E466,E466)&gt;1,"-"&amp;COUNTIFS($A$2:A466,A466,$B$2:B466,B466,$E$2:E466,E466),""))</x:f>
      </x:c>
      <x:c r="E466" s="99"/>
      <x:c r="F466" s="99"/>
      <x:c r="G466" s="99"/>
      <x:c r="H466" s="99"/>
      <x:c r="I466" s="100"/>
      <x:c r="J466" s="99"/>
      <x:c r="K466" s="99"/>
      <x:c r="L466" s="99"/>
      <x:c r="M466" s="99"/>
      <x:c r="N466" s="99"/>
      <x:c r="O466" s="96" t="str">
        <x:f>IF(E466="","",IF(E466="Small",IF(OR(F466="",G466="",H466=""),"",IF(AND(F466="Yes",G466="Small",H466="Skip"),"Yes","No")),IF(OR(E466="Normal",E466="Large"),IF(OR(F466="",G466="",H466="",K466="",L466="",M466="",N466=""),"",IF(AND(F466="Yes",G466=E466,H466="Pick",K466="Yes",L466="No",M466=IF(E466="Normal","Normal_Bin","Large_Bin"),N466="Yes"),"Yes","No")),"")))</x:f>
      </x:c>
      <x:c r="P466" s="99"/>
      <x:c r="Q466" s="101"/>
      <x:c r="R466" s="102"/>
    </x:row>
    <x:row r="467">
      <x:c r="A467" s="97"/>
      <x:c r="B467" s="98"/>
      <x:c r="C467" s="97"/>
      <x:c r="D467" s="96" t="str">
        <x:f>IF(OR(A467="",B467="",E467=""),"","R"&amp;TEXT(A467,"00")&amp;"-"&amp;B467&amp;"-"&amp;LEFT(E467,1)&amp;IF(COUNTIFS($A$2:A467,A467,$B$2:B467,B467,$E$2:E467,E467)&gt;1,"-"&amp;COUNTIFS($A$2:A467,A467,$B$2:B467,B467,$E$2:E467,E467),""))</x:f>
      </x:c>
      <x:c r="E467" s="99"/>
      <x:c r="F467" s="99"/>
      <x:c r="G467" s="99"/>
      <x:c r="H467" s="99"/>
      <x:c r="I467" s="100"/>
      <x:c r="J467" s="99"/>
      <x:c r="K467" s="99"/>
      <x:c r="L467" s="99"/>
      <x:c r="M467" s="99"/>
      <x:c r="N467" s="99"/>
      <x:c r="O467" s="96" t="str">
        <x:f>IF(E467="","",IF(E467="Small",IF(OR(F467="",G467="",H467=""),"",IF(AND(F467="Yes",G467="Small",H467="Skip"),"Yes","No")),IF(OR(E467="Normal",E467="Large"),IF(OR(F467="",G467="",H467="",K467="",L467="",M467="",N467=""),"",IF(AND(F467="Yes",G467=E467,H467="Pick",K467="Yes",L467="No",M467=IF(E467="Normal","Normal_Bin","Large_Bin"),N467="Yes"),"Yes","No")),"")))</x:f>
      </x:c>
      <x:c r="P467" s="99"/>
      <x:c r="Q467" s="101"/>
      <x:c r="R467" s="102"/>
    </x:row>
    <x:row r="468">
      <x:c r="A468" s="97"/>
      <x:c r="B468" s="98"/>
      <x:c r="C468" s="97"/>
      <x:c r="D468" s="96" t="str">
        <x:f>IF(OR(A468="",B468="",E468=""),"","R"&amp;TEXT(A468,"00")&amp;"-"&amp;B468&amp;"-"&amp;LEFT(E468,1)&amp;IF(COUNTIFS($A$2:A468,A468,$B$2:B468,B468,$E$2:E468,E468)&gt;1,"-"&amp;COUNTIFS($A$2:A468,A468,$B$2:B468,B468,$E$2:E468,E468),""))</x:f>
      </x:c>
      <x:c r="E468" s="99"/>
      <x:c r="F468" s="99"/>
      <x:c r="G468" s="99"/>
      <x:c r="H468" s="99"/>
      <x:c r="I468" s="100"/>
      <x:c r="J468" s="99"/>
      <x:c r="K468" s="99"/>
      <x:c r="L468" s="99"/>
      <x:c r="M468" s="99"/>
      <x:c r="N468" s="99"/>
      <x:c r="O468" s="96" t="str">
        <x:f>IF(E468="","",IF(E468="Small",IF(OR(F468="",G468="",H468=""),"",IF(AND(F468="Yes",G468="Small",H468="Skip"),"Yes","No")),IF(OR(E468="Normal",E468="Large"),IF(OR(F468="",G468="",H468="",K468="",L468="",M468="",N468=""),"",IF(AND(F468="Yes",G468=E468,H468="Pick",K468="Yes",L468="No",M468=IF(E468="Normal","Normal_Bin","Large_Bin"),N468="Yes"),"Yes","No")),"")))</x:f>
      </x:c>
      <x:c r="P468" s="99"/>
      <x:c r="Q468" s="101"/>
      <x:c r="R468" s="102"/>
    </x:row>
    <x:row r="469">
      <x:c r="A469" s="97"/>
      <x:c r="B469" s="98"/>
      <x:c r="C469" s="97"/>
      <x:c r="D469" s="96" t="str">
        <x:f>IF(OR(A469="",B469="",E469=""),"","R"&amp;TEXT(A469,"00")&amp;"-"&amp;B469&amp;"-"&amp;LEFT(E469,1)&amp;IF(COUNTIFS($A$2:A469,A469,$B$2:B469,B469,$E$2:E469,E469)&gt;1,"-"&amp;COUNTIFS($A$2:A469,A469,$B$2:B469,B469,$E$2:E469,E469),""))</x:f>
      </x:c>
      <x:c r="E469" s="99"/>
      <x:c r="F469" s="99"/>
      <x:c r="G469" s="99"/>
      <x:c r="H469" s="99"/>
      <x:c r="I469" s="100"/>
      <x:c r="J469" s="99"/>
      <x:c r="K469" s="99"/>
      <x:c r="L469" s="99"/>
      <x:c r="M469" s="99"/>
      <x:c r="N469" s="99"/>
      <x:c r="O469" s="96" t="str">
        <x:f>IF(E469="","",IF(E469="Small",IF(OR(F469="",G469="",H469=""),"",IF(AND(F469="Yes",G469="Small",H469="Skip"),"Yes","No")),IF(OR(E469="Normal",E469="Large"),IF(OR(F469="",G469="",H469="",K469="",L469="",M469="",N469=""),"",IF(AND(F469="Yes",G469=E469,H469="Pick",K469="Yes",L469="No",M469=IF(E469="Normal","Normal_Bin","Large_Bin"),N469="Yes"),"Yes","No")),"")))</x:f>
      </x:c>
      <x:c r="P469" s="99"/>
      <x:c r="Q469" s="101"/>
      <x:c r="R469" s="102"/>
    </x:row>
    <x:row r="470">
      <x:c r="A470" s="97"/>
      <x:c r="B470" s="98"/>
      <x:c r="C470" s="97"/>
      <x:c r="D470" s="96" t="str">
        <x:f>IF(OR(A470="",B470="",E470=""),"","R"&amp;TEXT(A470,"00")&amp;"-"&amp;B470&amp;"-"&amp;LEFT(E470,1)&amp;IF(COUNTIFS($A$2:A470,A470,$B$2:B470,B470,$E$2:E470,E470)&gt;1,"-"&amp;COUNTIFS($A$2:A470,A470,$B$2:B470,B470,$E$2:E470,E470),""))</x:f>
      </x:c>
      <x:c r="E470" s="99"/>
      <x:c r="F470" s="99"/>
      <x:c r="G470" s="99"/>
      <x:c r="H470" s="99"/>
      <x:c r="I470" s="100"/>
      <x:c r="J470" s="99"/>
      <x:c r="K470" s="99"/>
      <x:c r="L470" s="99"/>
      <x:c r="M470" s="99"/>
      <x:c r="N470" s="99"/>
      <x:c r="O470" s="96" t="str">
        <x:f>IF(E470="","",IF(E470="Small",IF(OR(F470="",G470="",H470=""),"",IF(AND(F470="Yes",G470="Small",H470="Skip"),"Yes","No")),IF(OR(E470="Normal",E470="Large"),IF(OR(F470="",G470="",H470="",K470="",L470="",M470="",N470=""),"",IF(AND(F470="Yes",G470=E470,H470="Pick",K470="Yes",L470="No",M470=IF(E470="Normal","Normal_Bin","Large_Bin"),N470="Yes"),"Yes","No")),"")))</x:f>
      </x:c>
      <x:c r="P470" s="99"/>
      <x:c r="Q470" s="101"/>
      <x:c r="R470" s="102"/>
    </x:row>
    <x:row r="471">
      <x:c r="A471" s="97"/>
      <x:c r="B471" s="98"/>
      <x:c r="C471" s="97"/>
      <x:c r="D471" s="96" t="str">
        <x:f>IF(OR(A471="",B471="",E471=""),"","R"&amp;TEXT(A471,"00")&amp;"-"&amp;B471&amp;"-"&amp;LEFT(E471,1)&amp;IF(COUNTIFS($A$2:A471,A471,$B$2:B471,B471,$E$2:E471,E471)&gt;1,"-"&amp;COUNTIFS($A$2:A471,A471,$B$2:B471,B471,$E$2:E471,E471),""))</x:f>
      </x:c>
      <x:c r="E471" s="99"/>
      <x:c r="F471" s="99"/>
      <x:c r="G471" s="99"/>
      <x:c r="H471" s="99"/>
      <x:c r="I471" s="100"/>
      <x:c r="J471" s="99"/>
      <x:c r="K471" s="99"/>
      <x:c r="L471" s="99"/>
      <x:c r="M471" s="99"/>
      <x:c r="N471" s="99"/>
      <x:c r="O471" s="96" t="str">
        <x:f>IF(E471="","",IF(E471="Small",IF(OR(F471="",G471="",H471=""),"",IF(AND(F471="Yes",G471="Small",H471="Skip"),"Yes","No")),IF(OR(E471="Normal",E471="Large"),IF(OR(F471="",G471="",H471="",K471="",L471="",M471="",N471=""),"",IF(AND(F471="Yes",G471=E471,H471="Pick",K471="Yes",L471="No",M471=IF(E471="Normal","Normal_Bin","Large_Bin"),N471="Yes"),"Yes","No")),"")))</x:f>
      </x:c>
      <x:c r="P471" s="99"/>
      <x:c r="Q471" s="101"/>
      <x:c r="R471" s="102"/>
    </x:row>
    <x:row r="472">
      <x:c r="A472" s="97"/>
      <x:c r="B472" s="98"/>
      <x:c r="C472" s="97"/>
      <x:c r="D472" s="96" t="str">
        <x:f>IF(OR(A472="",B472="",E472=""),"","R"&amp;TEXT(A472,"00")&amp;"-"&amp;B472&amp;"-"&amp;LEFT(E472,1)&amp;IF(COUNTIFS($A$2:A472,A472,$B$2:B472,B472,$E$2:E472,E472)&gt;1,"-"&amp;COUNTIFS($A$2:A472,A472,$B$2:B472,B472,$E$2:E472,E472),""))</x:f>
      </x:c>
      <x:c r="E472" s="99"/>
      <x:c r="F472" s="99"/>
      <x:c r="G472" s="99"/>
      <x:c r="H472" s="99"/>
      <x:c r="I472" s="100"/>
      <x:c r="J472" s="99"/>
      <x:c r="K472" s="99"/>
      <x:c r="L472" s="99"/>
      <x:c r="M472" s="99"/>
      <x:c r="N472" s="99"/>
      <x:c r="O472" s="96" t="str">
        <x:f>IF(E472="","",IF(E472="Small",IF(OR(F472="",G472="",H472=""),"",IF(AND(F472="Yes",G472="Small",H472="Skip"),"Yes","No")),IF(OR(E472="Normal",E472="Large"),IF(OR(F472="",G472="",H472="",K472="",L472="",M472="",N472=""),"",IF(AND(F472="Yes",G472=E472,H472="Pick",K472="Yes",L472="No",M472=IF(E472="Normal","Normal_Bin","Large_Bin"),N472="Yes"),"Yes","No")),"")))</x:f>
      </x:c>
      <x:c r="P472" s="99"/>
      <x:c r="Q472" s="101"/>
      <x:c r="R472" s="102"/>
    </x:row>
    <x:row r="473">
      <x:c r="A473" s="97"/>
      <x:c r="B473" s="98"/>
      <x:c r="C473" s="97"/>
      <x:c r="D473" s="96" t="str">
        <x:f>IF(OR(A473="",B473="",E473=""),"","R"&amp;TEXT(A473,"00")&amp;"-"&amp;B473&amp;"-"&amp;LEFT(E473,1)&amp;IF(COUNTIFS($A$2:A473,A473,$B$2:B473,B473,$E$2:E473,E473)&gt;1,"-"&amp;COUNTIFS($A$2:A473,A473,$B$2:B473,B473,$E$2:E473,E473),""))</x:f>
      </x:c>
      <x:c r="E473" s="99"/>
      <x:c r="F473" s="99"/>
      <x:c r="G473" s="99"/>
      <x:c r="H473" s="99"/>
      <x:c r="I473" s="100"/>
      <x:c r="J473" s="99"/>
      <x:c r="K473" s="99"/>
      <x:c r="L473" s="99"/>
      <x:c r="M473" s="99"/>
      <x:c r="N473" s="99"/>
      <x:c r="O473" s="96" t="str">
        <x:f>IF(E473="","",IF(E473="Small",IF(OR(F473="",G473="",H473=""),"",IF(AND(F473="Yes",G473="Small",H473="Skip"),"Yes","No")),IF(OR(E473="Normal",E473="Large"),IF(OR(F473="",G473="",H473="",K473="",L473="",M473="",N473=""),"",IF(AND(F473="Yes",G473=E473,H473="Pick",K473="Yes",L473="No",M473=IF(E473="Normal","Normal_Bin","Large_Bin"),N473="Yes"),"Yes","No")),"")))</x:f>
      </x:c>
      <x:c r="P473" s="99"/>
      <x:c r="Q473" s="101"/>
      <x:c r="R473" s="102"/>
    </x:row>
    <x:row r="474">
      <x:c r="A474" s="97"/>
      <x:c r="B474" s="98"/>
      <x:c r="C474" s="97"/>
      <x:c r="D474" s="96" t="str">
        <x:f>IF(OR(A474="",B474="",E474=""),"","R"&amp;TEXT(A474,"00")&amp;"-"&amp;B474&amp;"-"&amp;LEFT(E474,1)&amp;IF(COUNTIFS($A$2:A474,A474,$B$2:B474,B474,$E$2:E474,E474)&gt;1,"-"&amp;COUNTIFS($A$2:A474,A474,$B$2:B474,B474,$E$2:E474,E474),""))</x:f>
      </x:c>
      <x:c r="E474" s="99"/>
      <x:c r="F474" s="99"/>
      <x:c r="G474" s="99"/>
      <x:c r="H474" s="99"/>
      <x:c r="I474" s="100"/>
      <x:c r="J474" s="99"/>
      <x:c r="K474" s="99"/>
      <x:c r="L474" s="99"/>
      <x:c r="M474" s="99"/>
      <x:c r="N474" s="99"/>
      <x:c r="O474" s="96" t="str">
        <x:f>IF(E474="","",IF(E474="Small",IF(OR(F474="",G474="",H474=""),"",IF(AND(F474="Yes",G474="Small",H474="Skip"),"Yes","No")),IF(OR(E474="Normal",E474="Large"),IF(OR(F474="",G474="",H474="",K474="",L474="",M474="",N474=""),"",IF(AND(F474="Yes",G474=E474,H474="Pick",K474="Yes",L474="No",M474=IF(E474="Normal","Normal_Bin","Large_Bin"),N474="Yes"),"Yes","No")),"")))</x:f>
      </x:c>
      <x:c r="P474" s="99"/>
      <x:c r="Q474" s="101"/>
      <x:c r="R474" s="102"/>
    </x:row>
    <x:row r="475">
      <x:c r="A475" s="97"/>
      <x:c r="B475" s="98"/>
      <x:c r="C475" s="97"/>
      <x:c r="D475" s="96" t="str">
        <x:f>IF(OR(A475="",B475="",E475=""),"","R"&amp;TEXT(A475,"00")&amp;"-"&amp;B475&amp;"-"&amp;LEFT(E475,1)&amp;IF(COUNTIFS($A$2:A475,A475,$B$2:B475,B475,$E$2:E475,E475)&gt;1,"-"&amp;COUNTIFS($A$2:A475,A475,$B$2:B475,B475,$E$2:E475,E475),""))</x:f>
      </x:c>
      <x:c r="E475" s="99"/>
      <x:c r="F475" s="99"/>
      <x:c r="G475" s="99"/>
      <x:c r="H475" s="99"/>
      <x:c r="I475" s="100"/>
      <x:c r="J475" s="99"/>
      <x:c r="K475" s="99"/>
      <x:c r="L475" s="99"/>
      <x:c r="M475" s="99"/>
      <x:c r="N475" s="99"/>
      <x:c r="O475" s="96" t="str">
        <x:f>IF(E475="","",IF(E475="Small",IF(OR(F475="",G475="",H475=""),"",IF(AND(F475="Yes",G475="Small",H475="Skip"),"Yes","No")),IF(OR(E475="Normal",E475="Large"),IF(OR(F475="",G475="",H475="",K475="",L475="",M475="",N475=""),"",IF(AND(F475="Yes",G475=E475,H475="Pick",K475="Yes",L475="No",M475=IF(E475="Normal","Normal_Bin","Large_Bin"),N475="Yes"),"Yes","No")),"")))</x:f>
      </x:c>
      <x:c r="P475" s="99"/>
      <x:c r="Q475" s="101"/>
      <x:c r="R475" s="102"/>
    </x:row>
    <x:row r="476">
      <x:c r="A476" s="97"/>
      <x:c r="B476" s="98"/>
      <x:c r="C476" s="97"/>
      <x:c r="D476" s="96" t="str">
        <x:f>IF(OR(A476="",B476="",E476=""),"","R"&amp;TEXT(A476,"00")&amp;"-"&amp;B476&amp;"-"&amp;LEFT(E476,1)&amp;IF(COUNTIFS($A$2:A476,A476,$B$2:B476,B476,$E$2:E476,E476)&gt;1,"-"&amp;COUNTIFS($A$2:A476,A476,$B$2:B476,B476,$E$2:E476,E476),""))</x:f>
      </x:c>
      <x:c r="E476" s="99"/>
      <x:c r="F476" s="99"/>
      <x:c r="G476" s="99"/>
      <x:c r="H476" s="99"/>
      <x:c r="I476" s="100"/>
      <x:c r="J476" s="99"/>
      <x:c r="K476" s="99"/>
      <x:c r="L476" s="99"/>
      <x:c r="M476" s="99"/>
      <x:c r="N476" s="99"/>
      <x:c r="O476" s="96" t="str">
        <x:f>IF(E476="","",IF(E476="Small",IF(OR(F476="",G476="",H476=""),"",IF(AND(F476="Yes",G476="Small",H476="Skip"),"Yes","No")),IF(OR(E476="Normal",E476="Large"),IF(OR(F476="",G476="",H476="",K476="",L476="",M476="",N476=""),"",IF(AND(F476="Yes",G476=E476,H476="Pick",K476="Yes",L476="No",M476=IF(E476="Normal","Normal_Bin","Large_Bin"),N476="Yes"),"Yes","No")),"")))</x:f>
      </x:c>
      <x:c r="P476" s="99"/>
      <x:c r="Q476" s="101"/>
      <x:c r="R476" s="102"/>
    </x:row>
    <x:row r="477">
      <x:c r="A477" s="97"/>
      <x:c r="B477" s="98"/>
      <x:c r="C477" s="97"/>
      <x:c r="D477" s="96" t="str">
        <x:f>IF(OR(A477="",B477="",E477=""),"","R"&amp;TEXT(A477,"00")&amp;"-"&amp;B477&amp;"-"&amp;LEFT(E477,1)&amp;IF(COUNTIFS($A$2:A477,A477,$B$2:B477,B477,$E$2:E477,E477)&gt;1,"-"&amp;COUNTIFS($A$2:A477,A477,$B$2:B477,B477,$E$2:E477,E477),""))</x:f>
      </x:c>
      <x:c r="E477" s="99"/>
      <x:c r="F477" s="99"/>
      <x:c r="G477" s="99"/>
      <x:c r="H477" s="99"/>
      <x:c r="I477" s="100"/>
      <x:c r="J477" s="99"/>
      <x:c r="K477" s="99"/>
      <x:c r="L477" s="99"/>
      <x:c r="M477" s="99"/>
      <x:c r="N477" s="99"/>
      <x:c r="O477" s="96" t="str">
        <x:f>IF(E477="","",IF(E477="Small",IF(OR(F477="",G477="",H477=""),"",IF(AND(F477="Yes",G477="Small",H477="Skip"),"Yes","No")),IF(OR(E477="Normal",E477="Large"),IF(OR(F477="",G477="",H477="",K477="",L477="",M477="",N477=""),"",IF(AND(F477="Yes",G477=E477,H477="Pick",K477="Yes",L477="No",M477=IF(E477="Normal","Normal_Bin","Large_Bin"),N477="Yes"),"Yes","No")),"")))</x:f>
      </x:c>
      <x:c r="P477" s="99"/>
      <x:c r="Q477" s="101"/>
      <x:c r="R477" s="102"/>
    </x:row>
    <x:row r="478">
      <x:c r="A478" s="97"/>
      <x:c r="B478" s="98"/>
      <x:c r="C478" s="97"/>
      <x:c r="D478" s="96" t="str">
        <x:f>IF(OR(A478="",B478="",E478=""),"","R"&amp;TEXT(A478,"00")&amp;"-"&amp;B478&amp;"-"&amp;LEFT(E478,1)&amp;IF(COUNTIFS($A$2:A478,A478,$B$2:B478,B478,$E$2:E478,E478)&gt;1,"-"&amp;COUNTIFS($A$2:A478,A478,$B$2:B478,B478,$E$2:E478,E478),""))</x:f>
      </x:c>
      <x:c r="E478" s="99"/>
      <x:c r="F478" s="99"/>
      <x:c r="G478" s="99"/>
      <x:c r="H478" s="99"/>
      <x:c r="I478" s="100"/>
      <x:c r="J478" s="99"/>
      <x:c r="K478" s="99"/>
      <x:c r="L478" s="99"/>
      <x:c r="M478" s="99"/>
      <x:c r="N478" s="99"/>
      <x:c r="O478" s="96" t="str">
        <x:f>IF(E478="","",IF(E478="Small",IF(OR(F478="",G478="",H478=""),"",IF(AND(F478="Yes",G478="Small",H478="Skip"),"Yes","No")),IF(OR(E478="Normal",E478="Large"),IF(OR(F478="",G478="",H478="",K478="",L478="",M478="",N478=""),"",IF(AND(F478="Yes",G478=E478,H478="Pick",K478="Yes",L478="No",M478=IF(E478="Normal","Normal_Bin","Large_Bin"),N478="Yes"),"Yes","No")),"")))</x:f>
      </x:c>
      <x:c r="P478" s="99"/>
      <x:c r="Q478" s="101"/>
      <x:c r="R478" s="102"/>
    </x:row>
    <x:row r="479">
      <x:c r="A479" s="97"/>
      <x:c r="B479" s="98"/>
      <x:c r="C479" s="97"/>
      <x:c r="D479" s="96" t="str">
        <x:f>IF(OR(A479="",B479="",E479=""),"","R"&amp;TEXT(A479,"00")&amp;"-"&amp;B479&amp;"-"&amp;LEFT(E479,1)&amp;IF(COUNTIFS($A$2:A479,A479,$B$2:B479,B479,$E$2:E479,E479)&gt;1,"-"&amp;COUNTIFS($A$2:A479,A479,$B$2:B479,B479,$E$2:E479,E479),""))</x:f>
      </x:c>
      <x:c r="E479" s="99"/>
      <x:c r="F479" s="99"/>
      <x:c r="G479" s="99"/>
      <x:c r="H479" s="99"/>
      <x:c r="I479" s="100"/>
      <x:c r="J479" s="99"/>
      <x:c r="K479" s="99"/>
      <x:c r="L479" s="99"/>
      <x:c r="M479" s="99"/>
      <x:c r="N479" s="99"/>
      <x:c r="O479" s="96" t="str">
        <x:f>IF(E479="","",IF(E479="Small",IF(OR(F479="",G479="",H479=""),"",IF(AND(F479="Yes",G479="Small",H479="Skip"),"Yes","No")),IF(OR(E479="Normal",E479="Large"),IF(OR(F479="",G479="",H479="",K479="",L479="",M479="",N479=""),"",IF(AND(F479="Yes",G479=E479,H479="Pick",K479="Yes",L479="No",M479=IF(E479="Normal","Normal_Bin","Large_Bin"),N479="Yes"),"Yes","No")),"")))</x:f>
      </x:c>
      <x:c r="P479" s="99"/>
      <x:c r="Q479" s="101"/>
      <x:c r="R479" s="102"/>
    </x:row>
    <x:row r="480">
      <x:c r="A480" s="97"/>
      <x:c r="B480" s="98"/>
      <x:c r="C480" s="97"/>
      <x:c r="D480" s="96" t="str">
        <x:f>IF(OR(A480="",B480="",E480=""),"","R"&amp;TEXT(A480,"00")&amp;"-"&amp;B480&amp;"-"&amp;LEFT(E480,1)&amp;IF(COUNTIFS($A$2:A480,A480,$B$2:B480,B480,$E$2:E480,E480)&gt;1,"-"&amp;COUNTIFS($A$2:A480,A480,$B$2:B480,B480,$E$2:E480,E480),""))</x:f>
      </x:c>
      <x:c r="E480" s="99"/>
      <x:c r="F480" s="99"/>
      <x:c r="G480" s="99"/>
      <x:c r="H480" s="99"/>
      <x:c r="I480" s="100"/>
      <x:c r="J480" s="99"/>
      <x:c r="K480" s="99"/>
      <x:c r="L480" s="99"/>
      <x:c r="M480" s="99"/>
      <x:c r="N480" s="99"/>
      <x:c r="O480" s="96" t="str">
        <x:f>IF(E480="","",IF(E480="Small",IF(OR(F480="",G480="",H480=""),"",IF(AND(F480="Yes",G480="Small",H480="Skip"),"Yes","No")),IF(OR(E480="Normal",E480="Large"),IF(OR(F480="",G480="",H480="",K480="",L480="",M480="",N480=""),"",IF(AND(F480="Yes",G480=E480,H480="Pick",K480="Yes",L480="No",M480=IF(E480="Normal","Normal_Bin","Large_Bin"),N480="Yes"),"Yes","No")),"")))</x:f>
      </x:c>
      <x:c r="P480" s="99"/>
      <x:c r="Q480" s="101"/>
      <x:c r="R480" s="102"/>
    </x:row>
    <x:row r="481">
      <x:c r="A481" s="97"/>
      <x:c r="B481" s="98"/>
      <x:c r="C481" s="97"/>
      <x:c r="D481" s="96" t="str">
        <x:f>IF(OR(A481="",B481="",E481=""),"","R"&amp;TEXT(A481,"00")&amp;"-"&amp;B481&amp;"-"&amp;LEFT(E481,1)&amp;IF(COUNTIFS($A$2:A481,A481,$B$2:B481,B481,$E$2:E481,E481)&gt;1,"-"&amp;COUNTIFS($A$2:A481,A481,$B$2:B481,B481,$E$2:E481,E481),""))</x:f>
      </x:c>
      <x:c r="E481" s="99"/>
      <x:c r="F481" s="99"/>
      <x:c r="G481" s="99"/>
      <x:c r="H481" s="99"/>
      <x:c r="I481" s="100"/>
      <x:c r="J481" s="99"/>
      <x:c r="K481" s="99"/>
      <x:c r="L481" s="99"/>
      <x:c r="M481" s="99"/>
      <x:c r="N481" s="99"/>
      <x:c r="O481" s="96" t="str">
        <x:f>IF(E481="","",IF(E481="Small",IF(OR(F481="",G481="",H481=""),"",IF(AND(F481="Yes",G481="Small",H481="Skip"),"Yes","No")),IF(OR(E481="Normal",E481="Large"),IF(OR(F481="",G481="",H481="",K481="",L481="",M481="",N481=""),"",IF(AND(F481="Yes",G481=E481,H481="Pick",K481="Yes",L481="No",M481=IF(E481="Normal","Normal_Bin","Large_Bin"),N481="Yes"),"Yes","No")),"")))</x:f>
      </x:c>
      <x:c r="P481" s="99"/>
      <x:c r="Q481" s="101"/>
      <x:c r="R481" s="102"/>
    </x:row>
  </x:sheetData>
  <x:conditionalFormatting sqref="O2:O481">
    <x:cfRule type="containsText" dxfId="0" priority="1" operator="containsText" text="Yes"/>
    <x:cfRule type="containsText" dxfId="1" priority="2" operator="containsText" text="No"/>
  </x:conditionalFormatting>
  <x:conditionalFormatting sqref="J2:J481">
    <x:cfRule type="containsText" dxfId="2" priority="3" operator="containsText" text="Yes"/>
    <x:cfRule type="containsText" dxfId="3" priority="4" operator="containsText" text="No"/>
    <x:cfRule type="containsText" dxfId="4" priority="5" operator="containsText" text="N/A"/>
  </x:conditionalFormatting>
  <x:conditionalFormatting sqref="K2:K481">
    <x:cfRule type="containsText" dxfId="5" priority="6" operator="containsText" text="Yes"/>
    <x:cfRule type="containsText" dxfId="6" priority="7" operator="containsText" text="No"/>
    <x:cfRule type="containsText" dxfId="7" priority="8" operator="containsText" text="N/A"/>
  </x:conditionalFormatting>
  <x:conditionalFormatting sqref="N2:N481">
    <x:cfRule type="containsText" dxfId="8" priority="9" operator="containsText" text="Yes"/>
    <x:cfRule type="containsText" dxfId="9" priority="10" operator="containsText" text="No"/>
    <x:cfRule type="containsText" dxfId="10" priority="11" operator="containsText" text="N/A"/>
  </x:conditionalFormatting>
  <x:conditionalFormatting sqref="P2:P481">
    <x:cfRule type="containsText" dxfId="11" priority="12" operator="containsText" text="NONE"/>
    <x:cfRule type="expression" dxfId="12" priority="13">
      <x:formula>AND($P2&lt;&gt;"",$P2&lt;&gt;"NONE")</x:formula>
    </x:cfRule>
    <x:cfRule type="expression" dxfId="13" priority="14">
      <x:formula>AND($O2="No",$P2="NONE")</x:formula>
    </x:cfRule>
  </x:conditionalFormatting>
  <x:dataValidations count="15">
    <x:dataValidation type="list" sqref="B2:B481">
      <x:formula1>'Config'!$C$2:$C$5</x:formula1>
    </x:dataValidation>
    <x:dataValidation type="list" sqref="C2:C481">
      <x:formula1>'Config'!$E$2:$E$5</x:formula1>
    </x:dataValidation>
    <x:dataValidation type="list" sqref="E2:E481">
      <x:formula1>'Config'!$A$2:$A$4</x:formula1>
    </x:dataValidation>
    <x:dataValidation type="list" sqref="F2:F481">
      <x:formula1>'Config'!$G$2:$G$3</x:formula1>
    </x:dataValidation>
    <x:dataValidation type="list" sqref="G2:G481">
      <x:formula1>'Config'!$I$2:$I$6</x:formula1>
    </x:dataValidation>
    <x:dataValidation type="list" sqref="H2:H481">
      <x:formula1>'Config'!$K$2:$K$4</x:formula1>
    </x:dataValidation>
    <x:dataValidation type="list" sqref="J2:J481">
      <x:formula1>'Config'!$M$2:$M$4</x:formula1>
    </x:dataValidation>
    <x:dataValidation type="list" sqref="K2:K481">
      <x:formula1>'Config'!$M$2:$M$4</x:formula1>
    </x:dataValidation>
    <x:dataValidation type="list" sqref="L2:L481">
      <x:formula1>'Config'!$M$2:$M$4</x:formula1>
    </x:dataValidation>
    <x:dataValidation type="list" sqref="M2:M481">
      <x:formula1>'Config'!$O$2:$O$5</x:formula1>
    </x:dataValidation>
    <x:dataValidation type="list" sqref="N2:N481">
      <x:formula1>'Config'!$M$2:$M$4</x:formula1>
    </x:dataValidation>
    <x:dataValidation type="list" sqref="P2:P481">
      <x:formula1>'Config'!$Q$2:$Q$15</x:formula1>
    </x:dataValidation>
    <x:dataValidation type="whole" operator="between" sqref="A2:A481">
      <x:formula1>1</x:formula1>
      <x:formula2>999</x:formula2>
    </x:dataValidation>
    <x:dataValidation type="whole" operator="between" sqref="I2:I481">
      <x:formula1>0</x:formula1>
      <x:formula2>99</x:formula2>
    </x:dataValidation>
    <x:dataValidation type="decimal" operator="between" sqref="Q2:Q481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f4d8e19463947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13" hidden="0" customWidth="1"/>
    <x:col min="5" max="5" width="14" hidden="0" customWidth="1"/>
    <x:col min="6" max="6" width="13" hidden="0" customWidth="1"/>
    <x:col min="7" max="7" width="20" hidden="0" customWidth="1"/>
    <x:col min="8" max="8" width="17" hidden="0" customWidth="1"/>
    <x:col min="9" max="9" width="15" hidden="0" customWidth="1"/>
    <x:col min="10" max="10" width="25" hidden="0" customWidth="1"/>
    <x:col min="11" max="11" width="24" hidden="0" customWidth="1"/>
    <x:col min="12" max="12" width="25" hidden="0" customWidth="1"/>
    <x:col min="13" max="13" width="24" hidden="0" customWidth="1"/>
    <x:col min="14" max="14" width="24" hidden="0" customWidth="1"/>
    <x:col min="15" max="15" width="23" hidden="0" customWidth="1"/>
    <x:col min="16" max="16" width="19" hidden="0" customWidth="1"/>
    <x:col min="17" max="17" width="24" hidden="0" customWidth="1"/>
    <x:col min="18" max="18" width="24" hidden="0" customWidth="1"/>
    <x:col min="19" max="19" width="27" hidden="0" customWidth="1"/>
    <x:col min="20" max="20" width="30" hidden="0" customWidth="1"/>
  </x:cols>
  <x:sheetData>
    <x:row r="1" ht="34" customHeight="1">
      <x:c r="A1" s="28" t="str">
        <x:v>Round</x:v>
      </x:c>
      <x:c r="B1" s="29" t="str">
        <x:v>Region_Sequence</x:v>
      </x:c>
      <x:c r="C1" s="29" t="str">
        <x:v>Total_Objects</x:v>
      </x:c>
      <x:c r="D1" s="29" t="str">
        <x:v>Small_Count</x:v>
      </x:c>
      <x:c r="E1" s="29" t="str">
        <x:v>Normal_Count</x:v>
      </x:c>
      <x:c r="F1" s="29" t="str">
        <x:v>Large_Count</x:v>
      </x:c>
      <x:c r="G1" s="29" t="str">
        <x:v>Small_Correct_Skip</x:v>
      </x:c>
      <x:c r="H1" s="29" t="str">
        <x:v>Small_Skip_Rate</x:v>
      </x:c>
      <x:c r="I1" s="29" t="str">
        <x:v>Pick_Attempts</x:v>
      </x:c>
      <x:c r="J1" s="29" t="str">
        <x:v>First_Grasp_Success_Count</x:v>
      </x:c>
      <x:c r="K1" s="29" t="str">
        <x:v>First_Grasp_Success_Rate</x:v>
      </x:c>
      <x:c r="L1" s="29" t="str">
        <x:v>Final_Grasp_Success_Count</x:v>
      </x:c>
      <x:c r="M1" s="29" t="str">
        <x:v>Final_Grasp_Success_Rate</x:v>
      </x:c>
      <x:c r="N1" s="29" t="str">
        <x:v>Correct_Placement_Count</x:v>
      </x:c>
      <x:c r="O1" s="29" t="str">
        <x:v>Placement_Success_Rate</x:v>
      </x:c>
      <x:c r="P1" s="29" t="str">
        <x:v>Task_Success_Count</x:v>
      </x:c>
      <x:c r="Q1" s="29" t="str">
        <x:v>End_to_End_Success_Rate</x:v>
      </x:c>
      <x:c r="R1" s="29" t="str">
        <x:v>Total_Processing_Time_s</x:v>
      </x:c>
      <x:c r="S1" s="29" t="str">
        <x:v>Average_Time_Per_Object_s</x:v>
      </x:c>
      <x:c r="T1" s="30" t="str">
        <x:v>Notes</x:v>
      </x:c>
    </x:row>
    <x:row r="2">
      <x:c r="A2" s="40" t="n">
        <x:v>1</x:v>
      </x:c>
      <x:c r="B2" s="37" t="str">
        <x:f>INDEX('Config'!$W$2:$W$5,MOD(A2-1,4)+1)</x:f>
        <x:v>A → B → C → D</x:v>
      </x:c>
      <x:c r="C2" s="37" t="n">
        <x:f>COUNTIFS('Test_Record'!$A$2:$A$481,A2,'Test_Record'!$F$2:$F$481,"&lt;&gt;")</x:f>
        <x:v>0</x:v>
      </x:c>
      <x:c r="D2" s="37" t="n">
        <x:f>COUNTIFS('Test_Record'!$A$2:$A$481,A2,'Test_Record'!$E$2:$E$481,"Small",'Test_Record'!$F$2:$F$481,"&lt;&gt;")</x:f>
        <x:v>0</x:v>
      </x:c>
      <x:c r="E2" s="37" t="n">
        <x:f>COUNTIFS('Test_Record'!$A$2:$A$481,A2,'Test_Record'!$E$2:$E$481,"Normal",'Test_Record'!$F$2:$F$481,"&lt;&gt;")</x:f>
        <x:v>0</x:v>
      </x:c>
      <x:c r="F2" s="37" t="n">
        <x:f>COUNTIFS('Test_Record'!$A$2:$A$481,A2,'Test_Record'!$E$2:$E$481,"Large",'Test_Record'!$F$2:$F$481,"&lt;&gt;")</x:f>
        <x:v>0</x:v>
      </x:c>
      <x:c r="G2" s="37" t="n">
        <x:f>COUNTIFS('Test_Record'!$A$2:$A$481,A2,'Test_Record'!$E$2:$E$481,"Small",'Test_Record'!$O$2:$O$481,"Yes")</x:f>
        <x:v>0</x:v>
      </x:c>
      <x:c r="H2" s="38" t="n">
        <x:f>IFERROR(G2/D2,0)</x:f>
        <x:v>0</x:v>
      </x:c>
      <x:c r="I2" s="37" t="n">
        <x:f>SUMIFS('Test_Record'!$I$2:$I$481,'Test_Record'!$A$2:$A$481,A2,'Test_Record'!$H$2:$H$481,"Pick",'Test_Record'!$E$2:$E$481,"&lt;&gt;Small")</x:f>
        <x:v>0</x:v>
      </x:c>
      <x:c r="J2" s="37" t="n">
        <x:f>COUNTIFS('Test_Record'!$A$2:$A$481,A2,'Test_Record'!$E$2:$E$481,"&lt;&gt;Small",'Test_Record'!$H$2:$H$481,"Pick",'Test_Record'!$J$2:$J$481,"Yes")</x:f>
        <x:v>0</x:v>
      </x:c>
      <x:c r="K2" s="38" t="n">
        <x:f>IFERROR(J2/COUNTIFS('Test_Record'!$A$2:$A$481,A2,'Test_Record'!$E$2:$E$481,"&lt;&gt;Small",'Test_Record'!$H$2:$H$481,"Pick"),0)</x:f>
        <x:v>0</x:v>
      </x:c>
      <x:c r="L2" s="37" t="n">
        <x:f>COUNTIFS('Test_Record'!$A$2:$A$481,A2,'Test_Record'!$E$2:$E$481,"&lt;&gt;Small",'Test_Record'!$H$2:$H$481,"Pick",'Test_Record'!$K$2:$K$481,"Yes")</x:f>
        <x:v>0</x:v>
      </x:c>
      <x:c r="M2" s="38" t="n">
        <x:f>IFERROR(L2/COUNTIFS('Test_Record'!$A$2:$A$481,A2,'Test_Record'!$E$2:$E$481,"&lt;&gt;Small",'Test_Record'!$H$2:$H$481,"Pick"),0)</x:f>
        <x:v>0</x:v>
      </x:c>
      <x:c r="N2" s="37" t="n">
        <x:f>COUNTIFS('Test_Record'!$A$2:$A$481,A2,'Test_Record'!$E$2:$E$481,"&lt;&gt;Small",'Test_Record'!$H$2:$H$481,"Pick",'Test_Record'!$N$2:$N$481,"Yes")</x:f>
        <x:v>0</x:v>
      </x:c>
      <x:c r="O2" s="38" t="n">
        <x:f>IFERROR(N2/COUNTIFS('Test_Record'!$A$2:$A$481,A2,'Test_Record'!$E$2:$E$481,"&lt;&gt;Small",'Test_Record'!$H$2:$H$481,"Pick"),0)</x:f>
        <x:v>0</x:v>
      </x:c>
      <x:c r="P2" s="37" t="n">
        <x:f>COUNTIFS('Test_Record'!$A$2:$A$481,A2,'Test_Record'!$O$2:$O$481,"Yes")</x:f>
        <x:v>0</x:v>
      </x:c>
      <x:c r="Q2" s="38" t="n">
        <x:f>IFERROR(P2/C2,0)</x:f>
        <x:v>0</x:v>
      </x:c>
      <x:c r="R2" s="39" t="n">
        <x:f>SUMIFS('Test_Record'!$Q$2:$Q$481,'Test_Record'!$A$2:$A$481,A2)</x:f>
        <x:v>0</x:v>
      </x:c>
      <x:c r="S2" s="39" t="n">
        <x:f>IFERROR(AVERAGEIFS('Test_Record'!$Q$2:$Q$481,'Test_Record'!$A$2:$A$481,A2,'Test_Record'!$Q$2:$Q$481,"&gt;=0"),0)</x:f>
        <x:v>0</x:v>
      </x:c>
      <x:c r="T2" s="31"/>
    </x:row>
    <x:row r="3">
      <x:c r="A3" s="40" t="n">
        <x:v>2</x:v>
      </x:c>
      <x:c r="B3" s="37" t="str">
        <x:f>INDEX('Config'!$W$2:$W$5,MOD(A3-1,4)+1)</x:f>
        <x:v>B → C → D → A</x:v>
      </x:c>
      <x:c r="C3" s="37" t="n">
        <x:f>COUNTIFS('Test_Record'!$A$2:$A$481,A3,'Test_Record'!$F$2:$F$481,"&lt;&gt;")</x:f>
        <x:v>0</x:v>
      </x:c>
      <x:c r="D3" s="37" t="n">
        <x:f>COUNTIFS('Test_Record'!$A$2:$A$481,A3,'Test_Record'!$E$2:$E$481,"Small",'Test_Record'!$F$2:$F$481,"&lt;&gt;")</x:f>
        <x:v>0</x:v>
      </x:c>
      <x:c r="E3" s="37" t="n">
        <x:f>COUNTIFS('Test_Record'!$A$2:$A$481,A3,'Test_Record'!$E$2:$E$481,"Normal",'Test_Record'!$F$2:$F$481,"&lt;&gt;")</x:f>
        <x:v>0</x:v>
      </x:c>
      <x:c r="F3" s="37" t="n">
        <x:f>COUNTIFS('Test_Record'!$A$2:$A$481,A3,'Test_Record'!$E$2:$E$481,"Large",'Test_Record'!$F$2:$F$481,"&lt;&gt;")</x:f>
        <x:v>0</x:v>
      </x:c>
      <x:c r="G3" s="37" t="n">
        <x:f>COUNTIFS('Test_Record'!$A$2:$A$481,A3,'Test_Record'!$E$2:$E$481,"Small",'Test_Record'!$O$2:$O$481,"Yes")</x:f>
        <x:v>0</x:v>
      </x:c>
      <x:c r="H3" s="38" t="n">
        <x:f>IFERROR(G3/D3,0)</x:f>
        <x:v>0</x:v>
      </x:c>
      <x:c r="I3" s="37" t="n">
        <x:f>SUMIFS('Test_Record'!$I$2:$I$481,'Test_Record'!$A$2:$A$481,A3,'Test_Record'!$H$2:$H$481,"Pick",'Test_Record'!$E$2:$E$481,"&lt;&gt;Small")</x:f>
        <x:v>0</x:v>
      </x:c>
      <x:c r="J3" s="37" t="n">
        <x:f>COUNTIFS('Test_Record'!$A$2:$A$481,A3,'Test_Record'!$E$2:$E$481,"&lt;&gt;Small",'Test_Record'!$H$2:$H$481,"Pick",'Test_Record'!$J$2:$J$481,"Yes")</x:f>
        <x:v>0</x:v>
      </x:c>
      <x:c r="K3" s="38" t="n">
        <x:f>IFERROR(J3/COUNTIFS('Test_Record'!$A$2:$A$481,A3,'Test_Record'!$E$2:$E$481,"&lt;&gt;Small",'Test_Record'!$H$2:$H$481,"Pick"),0)</x:f>
        <x:v>0</x:v>
      </x:c>
      <x:c r="L3" s="37" t="n">
        <x:f>COUNTIFS('Test_Record'!$A$2:$A$481,A3,'Test_Record'!$E$2:$E$481,"&lt;&gt;Small",'Test_Record'!$H$2:$H$481,"Pick",'Test_Record'!$K$2:$K$481,"Yes")</x:f>
        <x:v>0</x:v>
      </x:c>
      <x:c r="M3" s="38" t="n">
        <x:f>IFERROR(L3/COUNTIFS('Test_Record'!$A$2:$A$481,A3,'Test_Record'!$E$2:$E$481,"&lt;&gt;Small",'Test_Record'!$H$2:$H$481,"Pick"),0)</x:f>
        <x:v>0</x:v>
      </x:c>
      <x:c r="N3" s="37" t="n">
        <x:f>COUNTIFS('Test_Record'!$A$2:$A$481,A3,'Test_Record'!$E$2:$E$481,"&lt;&gt;Small",'Test_Record'!$H$2:$H$481,"Pick",'Test_Record'!$N$2:$N$481,"Yes")</x:f>
        <x:v>0</x:v>
      </x:c>
      <x:c r="O3" s="38" t="n">
        <x:f>IFERROR(N3/COUNTIFS('Test_Record'!$A$2:$A$481,A3,'Test_Record'!$E$2:$E$481,"&lt;&gt;Small",'Test_Record'!$H$2:$H$481,"Pick"),0)</x:f>
        <x:v>0</x:v>
      </x:c>
      <x:c r="P3" s="37" t="n">
        <x:f>COUNTIFS('Test_Record'!$A$2:$A$481,A3,'Test_Record'!$O$2:$O$481,"Yes")</x:f>
        <x:v>0</x:v>
      </x:c>
      <x:c r="Q3" s="38" t="n">
        <x:f>IFERROR(P3/C3,0)</x:f>
        <x:v>0</x:v>
      </x:c>
      <x:c r="R3" s="39" t="n">
        <x:f>SUMIFS('Test_Record'!$Q$2:$Q$481,'Test_Record'!$A$2:$A$481,A3)</x:f>
        <x:v>0</x:v>
      </x:c>
      <x:c r="S3" s="39" t="n">
        <x:f>IFERROR(AVERAGEIFS('Test_Record'!$Q$2:$Q$481,'Test_Record'!$A$2:$A$481,A3,'Test_Record'!$Q$2:$Q$481,"&gt;=0"),0)</x:f>
        <x:v>0</x:v>
      </x:c>
      <x:c r="T3" s="31"/>
    </x:row>
    <x:row r="4">
      <x:c r="A4" s="40" t="n">
        <x:v>3</x:v>
      </x:c>
      <x:c r="B4" s="37" t="str">
        <x:f>INDEX('Config'!$W$2:$W$5,MOD(A4-1,4)+1)</x:f>
        <x:v>C → D → A → B</x:v>
      </x:c>
      <x:c r="C4" s="37" t="n">
        <x:f>COUNTIFS('Test_Record'!$A$2:$A$481,A4,'Test_Record'!$F$2:$F$481,"&lt;&gt;")</x:f>
        <x:v>0</x:v>
      </x:c>
      <x:c r="D4" s="37" t="n">
        <x:f>COUNTIFS('Test_Record'!$A$2:$A$481,A4,'Test_Record'!$E$2:$E$481,"Small",'Test_Record'!$F$2:$F$481,"&lt;&gt;")</x:f>
        <x:v>0</x:v>
      </x:c>
      <x:c r="E4" s="37" t="n">
        <x:f>COUNTIFS('Test_Record'!$A$2:$A$481,A4,'Test_Record'!$E$2:$E$481,"Normal",'Test_Record'!$F$2:$F$481,"&lt;&gt;")</x:f>
        <x:v>0</x:v>
      </x:c>
      <x:c r="F4" s="37" t="n">
        <x:f>COUNTIFS('Test_Record'!$A$2:$A$481,A4,'Test_Record'!$E$2:$E$481,"Large",'Test_Record'!$F$2:$F$481,"&lt;&gt;")</x:f>
        <x:v>0</x:v>
      </x:c>
      <x:c r="G4" s="37" t="n">
        <x:f>COUNTIFS('Test_Record'!$A$2:$A$481,A4,'Test_Record'!$E$2:$E$481,"Small",'Test_Record'!$O$2:$O$481,"Yes")</x:f>
        <x:v>0</x:v>
      </x:c>
      <x:c r="H4" s="38" t="n">
        <x:f>IFERROR(G4/D4,0)</x:f>
        <x:v>0</x:v>
      </x:c>
      <x:c r="I4" s="37" t="n">
        <x:f>SUMIFS('Test_Record'!$I$2:$I$481,'Test_Record'!$A$2:$A$481,A4,'Test_Record'!$H$2:$H$481,"Pick",'Test_Record'!$E$2:$E$481,"&lt;&gt;Small")</x:f>
        <x:v>0</x:v>
      </x:c>
      <x:c r="J4" s="37" t="n">
        <x:f>COUNTIFS('Test_Record'!$A$2:$A$481,A4,'Test_Record'!$E$2:$E$481,"&lt;&gt;Small",'Test_Record'!$H$2:$H$481,"Pick",'Test_Record'!$J$2:$J$481,"Yes")</x:f>
        <x:v>0</x:v>
      </x:c>
      <x:c r="K4" s="38" t="n">
        <x:f>IFERROR(J4/COUNTIFS('Test_Record'!$A$2:$A$481,A4,'Test_Record'!$E$2:$E$481,"&lt;&gt;Small",'Test_Record'!$H$2:$H$481,"Pick"),0)</x:f>
        <x:v>0</x:v>
      </x:c>
      <x:c r="L4" s="37" t="n">
        <x:f>COUNTIFS('Test_Record'!$A$2:$A$481,A4,'Test_Record'!$E$2:$E$481,"&lt;&gt;Small",'Test_Record'!$H$2:$H$481,"Pick",'Test_Record'!$K$2:$K$481,"Yes")</x:f>
        <x:v>0</x:v>
      </x:c>
      <x:c r="M4" s="38" t="n">
        <x:f>IFERROR(L4/COUNTIFS('Test_Record'!$A$2:$A$481,A4,'Test_Record'!$E$2:$E$481,"&lt;&gt;Small",'Test_Record'!$H$2:$H$481,"Pick"),0)</x:f>
        <x:v>0</x:v>
      </x:c>
      <x:c r="N4" s="37" t="n">
        <x:f>COUNTIFS('Test_Record'!$A$2:$A$481,A4,'Test_Record'!$E$2:$E$481,"&lt;&gt;Small",'Test_Record'!$H$2:$H$481,"Pick",'Test_Record'!$N$2:$N$481,"Yes")</x:f>
        <x:v>0</x:v>
      </x:c>
      <x:c r="O4" s="38" t="n">
        <x:f>IFERROR(N4/COUNTIFS('Test_Record'!$A$2:$A$481,A4,'Test_Record'!$E$2:$E$481,"&lt;&gt;Small",'Test_Record'!$H$2:$H$481,"Pick"),0)</x:f>
        <x:v>0</x:v>
      </x:c>
      <x:c r="P4" s="37" t="n">
        <x:f>COUNTIFS('Test_Record'!$A$2:$A$481,A4,'Test_Record'!$O$2:$O$481,"Yes")</x:f>
        <x:v>0</x:v>
      </x:c>
      <x:c r="Q4" s="38" t="n">
        <x:f>IFERROR(P4/C4,0)</x:f>
        <x:v>0</x:v>
      </x:c>
      <x:c r="R4" s="39" t="n">
        <x:f>SUMIFS('Test_Record'!$Q$2:$Q$481,'Test_Record'!$A$2:$A$481,A4)</x:f>
        <x:v>0</x:v>
      </x:c>
      <x:c r="S4" s="39" t="n">
        <x:f>IFERROR(AVERAGEIFS('Test_Record'!$Q$2:$Q$481,'Test_Record'!$A$2:$A$481,A4,'Test_Record'!$Q$2:$Q$481,"&gt;=0"),0)</x:f>
        <x:v>0</x:v>
      </x:c>
      <x:c r="T4" s="31"/>
    </x:row>
    <x:row r="5">
      <x:c r="A5" s="40" t="n">
        <x:v>4</x:v>
      </x:c>
      <x:c r="B5" s="37" t="str">
        <x:f>INDEX('Config'!$W$2:$W$5,MOD(A5-1,4)+1)</x:f>
        <x:v>D → A → B → C</x:v>
      </x:c>
      <x:c r="C5" s="37" t="n">
        <x:f>COUNTIFS('Test_Record'!$A$2:$A$481,A5,'Test_Record'!$F$2:$F$481,"&lt;&gt;")</x:f>
        <x:v>0</x:v>
      </x:c>
      <x:c r="D5" s="37" t="n">
        <x:f>COUNTIFS('Test_Record'!$A$2:$A$481,A5,'Test_Record'!$E$2:$E$481,"Small",'Test_Record'!$F$2:$F$481,"&lt;&gt;")</x:f>
        <x:v>0</x:v>
      </x:c>
      <x:c r="E5" s="37" t="n">
        <x:f>COUNTIFS('Test_Record'!$A$2:$A$481,A5,'Test_Record'!$E$2:$E$481,"Normal",'Test_Record'!$F$2:$F$481,"&lt;&gt;")</x:f>
        <x:v>0</x:v>
      </x:c>
      <x:c r="F5" s="37" t="n">
        <x:f>COUNTIFS('Test_Record'!$A$2:$A$481,A5,'Test_Record'!$E$2:$E$481,"Large",'Test_Record'!$F$2:$F$481,"&lt;&gt;")</x:f>
        <x:v>0</x:v>
      </x:c>
      <x:c r="G5" s="37" t="n">
        <x:f>COUNTIFS('Test_Record'!$A$2:$A$481,A5,'Test_Record'!$E$2:$E$481,"Small",'Test_Record'!$O$2:$O$481,"Yes")</x:f>
        <x:v>0</x:v>
      </x:c>
      <x:c r="H5" s="38" t="n">
        <x:f>IFERROR(G5/D5,0)</x:f>
        <x:v>0</x:v>
      </x:c>
      <x:c r="I5" s="37" t="n">
        <x:f>SUMIFS('Test_Record'!$I$2:$I$481,'Test_Record'!$A$2:$A$481,A5,'Test_Record'!$H$2:$H$481,"Pick",'Test_Record'!$E$2:$E$481,"&lt;&gt;Small")</x:f>
        <x:v>0</x:v>
      </x:c>
      <x:c r="J5" s="37" t="n">
        <x:f>COUNTIFS('Test_Record'!$A$2:$A$481,A5,'Test_Record'!$E$2:$E$481,"&lt;&gt;Small",'Test_Record'!$H$2:$H$481,"Pick",'Test_Record'!$J$2:$J$481,"Yes")</x:f>
        <x:v>0</x:v>
      </x:c>
      <x:c r="K5" s="38" t="n">
        <x:f>IFERROR(J5/COUNTIFS('Test_Record'!$A$2:$A$481,A5,'Test_Record'!$E$2:$E$481,"&lt;&gt;Small",'Test_Record'!$H$2:$H$481,"Pick"),0)</x:f>
        <x:v>0</x:v>
      </x:c>
      <x:c r="L5" s="37" t="n">
        <x:f>COUNTIFS('Test_Record'!$A$2:$A$481,A5,'Test_Record'!$E$2:$E$481,"&lt;&gt;Small",'Test_Record'!$H$2:$H$481,"Pick",'Test_Record'!$K$2:$K$481,"Yes")</x:f>
        <x:v>0</x:v>
      </x:c>
      <x:c r="M5" s="38" t="n">
        <x:f>IFERROR(L5/COUNTIFS('Test_Record'!$A$2:$A$481,A5,'Test_Record'!$E$2:$E$481,"&lt;&gt;Small",'Test_Record'!$H$2:$H$481,"Pick"),0)</x:f>
        <x:v>0</x:v>
      </x:c>
      <x:c r="N5" s="37" t="n">
        <x:f>COUNTIFS('Test_Record'!$A$2:$A$481,A5,'Test_Record'!$E$2:$E$481,"&lt;&gt;Small",'Test_Record'!$H$2:$H$481,"Pick",'Test_Record'!$N$2:$N$481,"Yes")</x:f>
        <x:v>0</x:v>
      </x:c>
      <x:c r="O5" s="38" t="n">
        <x:f>IFERROR(N5/COUNTIFS('Test_Record'!$A$2:$A$481,A5,'Test_Record'!$E$2:$E$481,"&lt;&gt;Small",'Test_Record'!$H$2:$H$481,"Pick"),0)</x:f>
        <x:v>0</x:v>
      </x:c>
      <x:c r="P5" s="37" t="n">
        <x:f>COUNTIFS('Test_Record'!$A$2:$A$481,A5,'Test_Record'!$O$2:$O$481,"Yes")</x:f>
        <x:v>0</x:v>
      </x:c>
      <x:c r="Q5" s="38" t="n">
        <x:f>IFERROR(P5/C5,0)</x:f>
        <x:v>0</x:v>
      </x:c>
      <x:c r="R5" s="39" t="n">
        <x:f>SUMIFS('Test_Record'!$Q$2:$Q$481,'Test_Record'!$A$2:$A$481,A5)</x:f>
        <x:v>0</x:v>
      </x:c>
      <x:c r="S5" s="39" t="n">
        <x:f>IFERROR(AVERAGEIFS('Test_Record'!$Q$2:$Q$481,'Test_Record'!$A$2:$A$481,A5,'Test_Record'!$Q$2:$Q$481,"&gt;=0"),0)</x:f>
        <x:v>0</x:v>
      </x:c>
      <x:c r="T5" s="31"/>
    </x:row>
    <x:row r="6">
      <x:c r="A6" s="40" t="n">
        <x:v>5</x:v>
      </x:c>
      <x:c r="B6" s="37" t="str">
        <x:f>INDEX('Config'!$W$2:$W$5,MOD(A6-1,4)+1)</x:f>
        <x:v>A → B → C → D</x:v>
      </x:c>
      <x:c r="C6" s="37" t="n">
        <x:f>COUNTIFS('Test_Record'!$A$2:$A$481,A6,'Test_Record'!$F$2:$F$481,"&lt;&gt;")</x:f>
        <x:v>0</x:v>
      </x:c>
      <x:c r="D6" s="37" t="n">
        <x:f>COUNTIFS('Test_Record'!$A$2:$A$481,A6,'Test_Record'!$E$2:$E$481,"Small",'Test_Record'!$F$2:$F$481,"&lt;&gt;")</x:f>
        <x:v>0</x:v>
      </x:c>
      <x:c r="E6" s="37" t="n">
        <x:f>COUNTIFS('Test_Record'!$A$2:$A$481,A6,'Test_Record'!$E$2:$E$481,"Normal",'Test_Record'!$F$2:$F$481,"&lt;&gt;")</x:f>
        <x:v>0</x:v>
      </x:c>
      <x:c r="F6" s="37" t="n">
        <x:f>COUNTIFS('Test_Record'!$A$2:$A$481,A6,'Test_Record'!$E$2:$E$481,"Large",'Test_Record'!$F$2:$F$481,"&lt;&gt;")</x:f>
        <x:v>0</x:v>
      </x:c>
      <x:c r="G6" s="37" t="n">
        <x:f>COUNTIFS('Test_Record'!$A$2:$A$481,A6,'Test_Record'!$E$2:$E$481,"Small",'Test_Record'!$O$2:$O$481,"Yes")</x:f>
        <x:v>0</x:v>
      </x:c>
      <x:c r="H6" s="38" t="n">
        <x:f>IFERROR(G6/D6,0)</x:f>
        <x:v>0</x:v>
      </x:c>
      <x:c r="I6" s="37" t="n">
        <x:f>SUMIFS('Test_Record'!$I$2:$I$481,'Test_Record'!$A$2:$A$481,A6,'Test_Record'!$H$2:$H$481,"Pick",'Test_Record'!$E$2:$E$481,"&lt;&gt;Small")</x:f>
        <x:v>0</x:v>
      </x:c>
      <x:c r="J6" s="37" t="n">
        <x:f>COUNTIFS('Test_Record'!$A$2:$A$481,A6,'Test_Record'!$E$2:$E$481,"&lt;&gt;Small",'Test_Record'!$H$2:$H$481,"Pick",'Test_Record'!$J$2:$J$481,"Yes")</x:f>
        <x:v>0</x:v>
      </x:c>
      <x:c r="K6" s="38" t="n">
        <x:f>IFERROR(J6/COUNTIFS('Test_Record'!$A$2:$A$481,A6,'Test_Record'!$E$2:$E$481,"&lt;&gt;Small",'Test_Record'!$H$2:$H$481,"Pick"),0)</x:f>
        <x:v>0</x:v>
      </x:c>
      <x:c r="L6" s="37" t="n">
        <x:f>COUNTIFS('Test_Record'!$A$2:$A$481,A6,'Test_Record'!$E$2:$E$481,"&lt;&gt;Small",'Test_Record'!$H$2:$H$481,"Pick",'Test_Record'!$K$2:$K$481,"Yes")</x:f>
        <x:v>0</x:v>
      </x:c>
      <x:c r="M6" s="38" t="n">
        <x:f>IFERROR(L6/COUNTIFS('Test_Record'!$A$2:$A$481,A6,'Test_Record'!$E$2:$E$481,"&lt;&gt;Small",'Test_Record'!$H$2:$H$481,"Pick"),0)</x:f>
        <x:v>0</x:v>
      </x:c>
      <x:c r="N6" s="37" t="n">
        <x:f>COUNTIFS('Test_Record'!$A$2:$A$481,A6,'Test_Record'!$E$2:$E$481,"&lt;&gt;Small",'Test_Record'!$H$2:$H$481,"Pick",'Test_Record'!$N$2:$N$481,"Yes")</x:f>
        <x:v>0</x:v>
      </x:c>
      <x:c r="O6" s="38" t="n">
        <x:f>IFERROR(N6/COUNTIFS('Test_Record'!$A$2:$A$481,A6,'Test_Record'!$E$2:$E$481,"&lt;&gt;Small",'Test_Record'!$H$2:$H$481,"Pick"),0)</x:f>
        <x:v>0</x:v>
      </x:c>
      <x:c r="P6" s="37" t="n">
        <x:f>COUNTIFS('Test_Record'!$A$2:$A$481,A6,'Test_Record'!$O$2:$O$481,"Yes")</x:f>
        <x:v>0</x:v>
      </x:c>
      <x:c r="Q6" s="38" t="n">
        <x:f>IFERROR(P6/C6,0)</x:f>
        <x:v>0</x:v>
      </x:c>
      <x:c r="R6" s="39" t="n">
        <x:f>SUMIFS('Test_Record'!$Q$2:$Q$481,'Test_Record'!$A$2:$A$481,A6)</x:f>
        <x:v>0</x:v>
      </x:c>
      <x:c r="S6" s="39" t="n">
        <x:f>IFERROR(AVERAGEIFS('Test_Record'!$Q$2:$Q$481,'Test_Record'!$A$2:$A$481,A6,'Test_Record'!$Q$2:$Q$481,"&gt;=0"),0)</x:f>
        <x:v>0</x:v>
      </x:c>
      <x:c r="T6" s="31"/>
    </x:row>
    <x:row r="7">
      <x:c r="A7" s="40" t="n">
        <x:v>6</x:v>
      </x:c>
      <x:c r="B7" s="37" t="str">
        <x:f>INDEX('Config'!$W$2:$W$5,MOD(A7-1,4)+1)</x:f>
        <x:v>B → C → D → A</x:v>
      </x:c>
      <x:c r="C7" s="37" t="n">
        <x:f>COUNTIFS('Test_Record'!$A$2:$A$481,A7,'Test_Record'!$F$2:$F$481,"&lt;&gt;")</x:f>
        <x:v>0</x:v>
      </x:c>
      <x:c r="D7" s="37" t="n">
        <x:f>COUNTIFS('Test_Record'!$A$2:$A$481,A7,'Test_Record'!$E$2:$E$481,"Small",'Test_Record'!$F$2:$F$481,"&lt;&gt;")</x:f>
        <x:v>0</x:v>
      </x:c>
      <x:c r="E7" s="37" t="n">
        <x:f>COUNTIFS('Test_Record'!$A$2:$A$481,A7,'Test_Record'!$E$2:$E$481,"Normal",'Test_Record'!$F$2:$F$481,"&lt;&gt;")</x:f>
        <x:v>0</x:v>
      </x:c>
      <x:c r="F7" s="37" t="n">
        <x:f>COUNTIFS('Test_Record'!$A$2:$A$481,A7,'Test_Record'!$E$2:$E$481,"Large",'Test_Record'!$F$2:$F$481,"&lt;&gt;")</x:f>
        <x:v>0</x:v>
      </x:c>
      <x:c r="G7" s="37" t="n">
        <x:f>COUNTIFS('Test_Record'!$A$2:$A$481,A7,'Test_Record'!$E$2:$E$481,"Small",'Test_Record'!$O$2:$O$481,"Yes")</x:f>
        <x:v>0</x:v>
      </x:c>
      <x:c r="H7" s="38" t="n">
        <x:f>IFERROR(G7/D7,0)</x:f>
        <x:v>0</x:v>
      </x:c>
      <x:c r="I7" s="37" t="n">
        <x:f>SUMIFS('Test_Record'!$I$2:$I$481,'Test_Record'!$A$2:$A$481,A7,'Test_Record'!$H$2:$H$481,"Pick",'Test_Record'!$E$2:$E$481,"&lt;&gt;Small")</x:f>
        <x:v>0</x:v>
      </x:c>
      <x:c r="J7" s="37" t="n">
        <x:f>COUNTIFS('Test_Record'!$A$2:$A$481,A7,'Test_Record'!$E$2:$E$481,"&lt;&gt;Small",'Test_Record'!$H$2:$H$481,"Pick",'Test_Record'!$J$2:$J$481,"Yes")</x:f>
        <x:v>0</x:v>
      </x:c>
      <x:c r="K7" s="38" t="n">
        <x:f>IFERROR(J7/COUNTIFS('Test_Record'!$A$2:$A$481,A7,'Test_Record'!$E$2:$E$481,"&lt;&gt;Small",'Test_Record'!$H$2:$H$481,"Pick"),0)</x:f>
        <x:v>0</x:v>
      </x:c>
      <x:c r="L7" s="37" t="n">
        <x:f>COUNTIFS('Test_Record'!$A$2:$A$481,A7,'Test_Record'!$E$2:$E$481,"&lt;&gt;Small",'Test_Record'!$H$2:$H$481,"Pick",'Test_Record'!$K$2:$K$481,"Yes")</x:f>
        <x:v>0</x:v>
      </x:c>
      <x:c r="M7" s="38" t="n">
        <x:f>IFERROR(L7/COUNTIFS('Test_Record'!$A$2:$A$481,A7,'Test_Record'!$E$2:$E$481,"&lt;&gt;Small",'Test_Record'!$H$2:$H$481,"Pick"),0)</x:f>
        <x:v>0</x:v>
      </x:c>
      <x:c r="N7" s="37" t="n">
        <x:f>COUNTIFS('Test_Record'!$A$2:$A$481,A7,'Test_Record'!$E$2:$E$481,"&lt;&gt;Small",'Test_Record'!$H$2:$H$481,"Pick",'Test_Record'!$N$2:$N$481,"Yes")</x:f>
        <x:v>0</x:v>
      </x:c>
      <x:c r="O7" s="38" t="n">
        <x:f>IFERROR(N7/COUNTIFS('Test_Record'!$A$2:$A$481,A7,'Test_Record'!$E$2:$E$481,"&lt;&gt;Small",'Test_Record'!$H$2:$H$481,"Pick"),0)</x:f>
        <x:v>0</x:v>
      </x:c>
      <x:c r="P7" s="37" t="n">
        <x:f>COUNTIFS('Test_Record'!$A$2:$A$481,A7,'Test_Record'!$O$2:$O$481,"Yes")</x:f>
        <x:v>0</x:v>
      </x:c>
      <x:c r="Q7" s="38" t="n">
        <x:f>IFERROR(P7/C7,0)</x:f>
        <x:v>0</x:v>
      </x:c>
      <x:c r="R7" s="39" t="n">
        <x:f>SUMIFS('Test_Record'!$Q$2:$Q$481,'Test_Record'!$A$2:$A$481,A7)</x:f>
        <x:v>0</x:v>
      </x:c>
      <x:c r="S7" s="39" t="n">
        <x:f>IFERROR(AVERAGEIFS('Test_Record'!$Q$2:$Q$481,'Test_Record'!$A$2:$A$481,A7,'Test_Record'!$Q$2:$Q$481,"&gt;=0"),0)</x:f>
        <x:v>0</x:v>
      </x:c>
      <x:c r="T7" s="31"/>
    </x:row>
    <x:row r="8">
      <x:c r="A8" s="40" t="n">
        <x:v>7</x:v>
      </x:c>
      <x:c r="B8" s="37" t="str">
        <x:f>INDEX('Config'!$W$2:$W$5,MOD(A8-1,4)+1)</x:f>
        <x:v>C → D → A → B</x:v>
      </x:c>
      <x:c r="C8" s="37" t="n">
        <x:f>COUNTIFS('Test_Record'!$A$2:$A$481,A8,'Test_Record'!$F$2:$F$481,"&lt;&gt;")</x:f>
        <x:v>0</x:v>
      </x:c>
      <x:c r="D8" s="37" t="n">
        <x:f>COUNTIFS('Test_Record'!$A$2:$A$481,A8,'Test_Record'!$E$2:$E$481,"Small",'Test_Record'!$F$2:$F$481,"&lt;&gt;")</x:f>
        <x:v>0</x:v>
      </x:c>
      <x:c r="E8" s="37" t="n">
        <x:f>COUNTIFS('Test_Record'!$A$2:$A$481,A8,'Test_Record'!$E$2:$E$481,"Normal",'Test_Record'!$F$2:$F$481,"&lt;&gt;")</x:f>
        <x:v>0</x:v>
      </x:c>
      <x:c r="F8" s="37" t="n">
        <x:f>COUNTIFS('Test_Record'!$A$2:$A$481,A8,'Test_Record'!$E$2:$E$481,"Large",'Test_Record'!$F$2:$F$481,"&lt;&gt;")</x:f>
        <x:v>0</x:v>
      </x:c>
      <x:c r="G8" s="37" t="n">
        <x:f>COUNTIFS('Test_Record'!$A$2:$A$481,A8,'Test_Record'!$E$2:$E$481,"Small",'Test_Record'!$O$2:$O$481,"Yes")</x:f>
        <x:v>0</x:v>
      </x:c>
      <x:c r="H8" s="38" t="n">
        <x:f>IFERROR(G8/D8,0)</x:f>
        <x:v>0</x:v>
      </x:c>
      <x:c r="I8" s="37" t="n">
        <x:f>SUMIFS('Test_Record'!$I$2:$I$481,'Test_Record'!$A$2:$A$481,A8,'Test_Record'!$H$2:$H$481,"Pick",'Test_Record'!$E$2:$E$481,"&lt;&gt;Small")</x:f>
        <x:v>0</x:v>
      </x:c>
      <x:c r="J8" s="37" t="n">
        <x:f>COUNTIFS('Test_Record'!$A$2:$A$481,A8,'Test_Record'!$E$2:$E$481,"&lt;&gt;Small",'Test_Record'!$H$2:$H$481,"Pick",'Test_Record'!$J$2:$J$481,"Yes")</x:f>
        <x:v>0</x:v>
      </x:c>
      <x:c r="K8" s="38" t="n">
        <x:f>IFERROR(J8/COUNTIFS('Test_Record'!$A$2:$A$481,A8,'Test_Record'!$E$2:$E$481,"&lt;&gt;Small",'Test_Record'!$H$2:$H$481,"Pick"),0)</x:f>
        <x:v>0</x:v>
      </x:c>
      <x:c r="L8" s="37" t="n">
        <x:f>COUNTIFS('Test_Record'!$A$2:$A$481,A8,'Test_Record'!$E$2:$E$481,"&lt;&gt;Small",'Test_Record'!$H$2:$H$481,"Pick",'Test_Record'!$K$2:$K$481,"Yes")</x:f>
        <x:v>0</x:v>
      </x:c>
      <x:c r="M8" s="38" t="n">
        <x:f>IFERROR(L8/COUNTIFS('Test_Record'!$A$2:$A$481,A8,'Test_Record'!$E$2:$E$481,"&lt;&gt;Small",'Test_Record'!$H$2:$H$481,"Pick"),0)</x:f>
        <x:v>0</x:v>
      </x:c>
      <x:c r="N8" s="37" t="n">
        <x:f>COUNTIFS('Test_Record'!$A$2:$A$481,A8,'Test_Record'!$E$2:$E$481,"&lt;&gt;Small",'Test_Record'!$H$2:$H$481,"Pick",'Test_Record'!$N$2:$N$481,"Yes")</x:f>
        <x:v>0</x:v>
      </x:c>
      <x:c r="O8" s="38" t="n">
        <x:f>IFERROR(N8/COUNTIFS('Test_Record'!$A$2:$A$481,A8,'Test_Record'!$E$2:$E$481,"&lt;&gt;Small",'Test_Record'!$H$2:$H$481,"Pick"),0)</x:f>
        <x:v>0</x:v>
      </x:c>
      <x:c r="P8" s="37" t="n">
        <x:f>COUNTIFS('Test_Record'!$A$2:$A$481,A8,'Test_Record'!$O$2:$O$481,"Yes")</x:f>
        <x:v>0</x:v>
      </x:c>
      <x:c r="Q8" s="38" t="n">
        <x:f>IFERROR(P8/C8,0)</x:f>
        <x:v>0</x:v>
      </x:c>
      <x:c r="R8" s="39" t="n">
        <x:f>SUMIFS('Test_Record'!$Q$2:$Q$481,'Test_Record'!$A$2:$A$481,A8)</x:f>
        <x:v>0</x:v>
      </x:c>
      <x:c r="S8" s="39" t="n">
        <x:f>IFERROR(AVERAGEIFS('Test_Record'!$Q$2:$Q$481,'Test_Record'!$A$2:$A$481,A8,'Test_Record'!$Q$2:$Q$481,"&gt;=0"),0)</x:f>
        <x:v>0</x:v>
      </x:c>
      <x:c r="T8" s="31"/>
    </x:row>
    <x:row r="9">
      <x:c r="A9" s="40" t="n">
        <x:v>8</x:v>
      </x:c>
      <x:c r="B9" s="37" t="str">
        <x:f>INDEX('Config'!$W$2:$W$5,MOD(A9-1,4)+1)</x:f>
        <x:v>D → A → B → C</x:v>
      </x:c>
      <x:c r="C9" s="37" t="n">
        <x:f>COUNTIFS('Test_Record'!$A$2:$A$481,A9,'Test_Record'!$F$2:$F$481,"&lt;&gt;")</x:f>
        <x:v>0</x:v>
      </x:c>
      <x:c r="D9" s="37" t="n">
        <x:f>COUNTIFS('Test_Record'!$A$2:$A$481,A9,'Test_Record'!$E$2:$E$481,"Small",'Test_Record'!$F$2:$F$481,"&lt;&gt;")</x:f>
        <x:v>0</x:v>
      </x:c>
      <x:c r="E9" s="37" t="n">
        <x:f>COUNTIFS('Test_Record'!$A$2:$A$481,A9,'Test_Record'!$E$2:$E$481,"Normal",'Test_Record'!$F$2:$F$481,"&lt;&gt;")</x:f>
        <x:v>0</x:v>
      </x:c>
      <x:c r="F9" s="37" t="n">
        <x:f>COUNTIFS('Test_Record'!$A$2:$A$481,A9,'Test_Record'!$E$2:$E$481,"Large",'Test_Record'!$F$2:$F$481,"&lt;&gt;")</x:f>
        <x:v>0</x:v>
      </x:c>
      <x:c r="G9" s="37" t="n">
        <x:f>COUNTIFS('Test_Record'!$A$2:$A$481,A9,'Test_Record'!$E$2:$E$481,"Small",'Test_Record'!$O$2:$O$481,"Yes")</x:f>
        <x:v>0</x:v>
      </x:c>
      <x:c r="H9" s="38" t="n">
        <x:f>IFERROR(G9/D9,0)</x:f>
        <x:v>0</x:v>
      </x:c>
      <x:c r="I9" s="37" t="n">
        <x:f>SUMIFS('Test_Record'!$I$2:$I$481,'Test_Record'!$A$2:$A$481,A9,'Test_Record'!$H$2:$H$481,"Pick",'Test_Record'!$E$2:$E$481,"&lt;&gt;Small")</x:f>
        <x:v>0</x:v>
      </x:c>
      <x:c r="J9" s="37" t="n">
        <x:f>COUNTIFS('Test_Record'!$A$2:$A$481,A9,'Test_Record'!$E$2:$E$481,"&lt;&gt;Small",'Test_Record'!$H$2:$H$481,"Pick",'Test_Record'!$J$2:$J$481,"Yes")</x:f>
        <x:v>0</x:v>
      </x:c>
      <x:c r="K9" s="38" t="n">
        <x:f>IFERROR(J9/COUNTIFS('Test_Record'!$A$2:$A$481,A9,'Test_Record'!$E$2:$E$481,"&lt;&gt;Small",'Test_Record'!$H$2:$H$481,"Pick"),0)</x:f>
        <x:v>0</x:v>
      </x:c>
      <x:c r="L9" s="37" t="n">
        <x:f>COUNTIFS('Test_Record'!$A$2:$A$481,A9,'Test_Record'!$E$2:$E$481,"&lt;&gt;Small",'Test_Record'!$H$2:$H$481,"Pick",'Test_Record'!$K$2:$K$481,"Yes")</x:f>
        <x:v>0</x:v>
      </x:c>
      <x:c r="M9" s="38" t="n">
        <x:f>IFERROR(L9/COUNTIFS('Test_Record'!$A$2:$A$481,A9,'Test_Record'!$E$2:$E$481,"&lt;&gt;Small",'Test_Record'!$H$2:$H$481,"Pick"),0)</x:f>
        <x:v>0</x:v>
      </x:c>
      <x:c r="N9" s="37" t="n">
        <x:f>COUNTIFS('Test_Record'!$A$2:$A$481,A9,'Test_Record'!$E$2:$E$481,"&lt;&gt;Small",'Test_Record'!$H$2:$H$481,"Pick",'Test_Record'!$N$2:$N$481,"Yes")</x:f>
        <x:v>0</x:v>
      </x:c>
      <x:c r="O9" s="38" t="n">
        <x:f>IFERROR(N9/COUNTIFS('Test_Record'!$A$2:$A$481,A9,'Test_Record'!$E$2:$E$481,"&lt;&gt;Small",'Test_Record'!$H$2:$H$481,"Pick"),0)</x:f>
        <x:v>0</x:v>
      </x:c>
      <x:c r="P9" s="37" t="n">
        <x:f>COUNTIFS('Test_Record'!$A$2:$A$481,A9,'Test_Record'!$O$2:$O$481,"Yes")</x:f>
        <x:v>0</x:v>
      </x:c>
      <x:c r="Q9" s="38" t="n">
        <x:f>IFERROR(P9/C9,0)</x:f>
        <x:v>0</x:v>
      </x:c>
      <x:c r="R9" s="39" t="n">
        <x:f>SUMIFS('Test_Record'!$Q$2:$Q$481,'Test_Record'!$A$2:$A$481,A9)</x:f>
        <x:v>0</x:v>
      </x:c>
      <x:c r="S9" s="39" t="n">
        <x:f>IFERROR(AVERAGEIFS('Test_Record'!$Q$2:$Q$481,'Test_Record'!$A$2:$A$481,A9,'Test_Record'!$Q$2:$Q$481,"&gt;=0"),0)</x:f>
        <x:v>0</x:v>
      </x:c>
      <x:c r="T9" s="31"/>
    </x:row>
    <x:row r="10">
      <x:c r="A10" s="40" t="n">
        <x:v>9</x:v>
      </x:c>
      <x:c r="B10" s="37" t="str">
        <x:f>INDEX('Config'!$W$2:$W$5,MOD(A10-1,4)+1)</x:f>
        <x:v>A → B → C → D</x:v>
      </x:c>
      <x:c r="C10" s="37" t="n">
        <x:f>COUNTIFS('Test_Record'!$A$2:$A$481,A10,'Test_Record'!$F$2:$F$481,"&lt;&gt;")</x:f>
        <x:v>0</x:v>
      </x:c>
      <x:c r="D10" s="37" t="n">
        <x:f>COUNTIFS('Test_Record'!$A$2:$A$481,A10,'Test_Record'!$E$2:$E$481,"Small",'Test_Record'!$F$2:$F$481,"&lt;&gt;")</x:f>
        <x:v>0</x:v>
      </x:c>
      <x:c r="E10" s="37" t="n">
        <x:f>COUNTIFS('Test_Record'!$A$2:$A$481,A10,'Test_Record'!$E$2:$E$481,"Normal",'Test_Record'!$F$2:$F$481,"&lt;&gt;")</x:f>
        <x:v>0</x:v>
      </x:c>
      <x:c r="F10" s="37" t="n">
        <x:f>COUNTIFS('Test_Record'!$A$2:$A$481,A10,'Test_Record'!$E$2:$E$481,"Large",'Test_Record'!$F$2:$F$481,"&lt;&gt;")</x:f>
        <x:v>0</x:v>
      </x:c>
      <x:c r="G10" s="37" t="n">
        <x:f>COUNTIFS('Test_Record'!$A$2:$A$481,A10,'Test_Record'!$E$2:$E$481,"Small",'Test_Record'!$O$2:$O$481,"Yes")</x:f>
        <x:v>0</x:v>
      </x:c>
      <x:c r="H10" s="38" t="n">
        <x:f>IFERROR(G10/D10,0)</x:f>
        <x:v>0</x:v>
      </x:c>
      <x:c r="I10" s="37" t="n">
        <x:f>SUMIFS('Test_Record'!$I$2:$I$481,'Test_Record'!$A$2:$A$481,A10,'Test_Record'!$H$2:$H$481,"Pick",'Test_Record'!$E$2:$E$481,"&lt;&gt;Small")</x:f>
        <x:v>0</x:v>
      </x:c>
      <x:c r="J10" s="37" t="n">
        <x:f>COUNTIFS('Test_Record'!$A$2:$A$481,A10,'Test_Record'!$E$2:$E$481,"&lt;&gt;Small",'Test_Record'!$H$2:$H$481,"Pick",'Test_Record'!$J$2:$J$481,"Yes")</x:f>
        <x:v>0</x:v>
      </x:c>
      <x:c r="K10" s="38" t="n">
        <x:f>IFERROR(J10/COUNTIFS('Test_Record'!$A$2:$A$481,A10,'Test_Record'!$E$2:$E$481,"&lt;&gt;Small",'Test_Record'!$H$2:$H$481,"Pick"),0)</x:f>
        <x:v>0</x:v>
      </x:c>
      <x:c r="L10" s="37" t="n">
        <x:f>COUNTIFS('Test_Record'!$A$2:$A$481,A10,'Test_Record'!$E$2:$E$481,"&lt;&gt;Small",'Test_Record'!$H$2:$H$481,"Pick",'Test_Record'!$K$2:$K$481,"Yes")</x:f>
        <x:v>0</x:v>
      </x:c>
      <x:c r="M10" s="38" t="n">
        <x:f>IFERROR(L10/COUNTIFS('Test_Record'!$A$2:$A$481,A10,'Test_Record'!$E$2:$E$481,"&lt;&gt;Small",'Test_Record'!$H$2:$H$481,"Pick"),0)</x:f>
        <x:v>0</x:v>
      </x:c>
      <x:c r="N10" s="37" t="n">
        <x:f>COUNTIFS('Test_Record'!$A$2:$A$481,A10,'Test_Record'!$E$2:$E$481,"&lt;&gt;Small",'Test_Record'!$H$2:$H$481,"Pick",'Test_Record'!$N$2:$N$481,"Yes")</x:f>
        <x:v>0</x:v>
      </x:c>
      <x:c r="O10" s="38" t="n">
        <x:f>IFERROR(N10/COUNTIFS('Test_Record'!$A$2:$A$481,A10,'Test_Record'!$E$2:$E$481,"&lt;&gt;Small",'Test_Record'!$H$2:$H$481,"Pick"),0)</x:f>
        <x:v>0</x:v>
      </x:c>
      <x:c r="P10" s="37" t="n">
        <x:f>COUNTIFS('Test_Record'!$A$2:$A$481,A10,'Test_Record'!$O$2:$O$481,"Yes")</x:f>
        <x:v>0</x:v>
      </x:c>
      <x:c r="Q10" s="38" t="n">
        <x:f>IFERROR(P10/C10,0)</x:f>
        <x:v>0</x:v>
      </x:c>
      <x:c r="R10" s="39" t="n">
        <x:f>SUMIFS('Test_Record'!$Q$2:$Q$481,'Test_Record'!$A$2:$A$481,A10)</x:f>
        <x:v>0</x:v>
      </x:c>
      <x:c r="S10" s="39" t="n">
        <x:f>IFERROR(AVERAGEIFS('Test_Record'!$Q$2:$Q$481,'Test_Record'!$A$2:$A$481,A10,'Test_Record'!$Q$2:$Q$481,"&gt;=0"),0)</x:f>
        <x:v>0</x:v>
      </x:c>
      <x:c r="T10" s="31"/>
    </x:row>
    <x:row r="11">
      <x:c r="A11" s="40" t="n">
        <x:v>10</x:v>
      </x:c>
      <x:c r="B11" s="37" t="str">
        <x:f>INDEX('Config'!$W$2:$W$5,MOD(A11-1,4)+1)</x:f>
        <x:v>B → C → D → A</x:v>
      </x:c>
      <x:c r="C11" s="37" t="n">
        <x:f>COUNTIFS('Test_Record'!$A$2:$A$481,A11,'Test_Record'!$F$2:$F$481,"&lt;&gt;")</x:f>
        <x:v>0</x:v>
      </x:c>
      <x:c r="D11" s="37" t="n">
        <x:f>COUNTIFS('Test_Record'!$A$2:$A$481,A11,'Test_Record'!$E$2:$E$481,"Small",'Test_Record'!$F$2:$F$481,"&lt;&gt;")</x:f>
        <x:v>0</x:v>
      </x:c>
      <x:c r="E11" s="37" t="n">
        <x:f>COUNTIFS('Test_Record'!$A$2:$A$481,A11,'Test_Record'!$E$2:$E$481,"Normal",'Test_Record'!$F$2:$F$481,"&lt;&gt;")</x:f>
        <x:v>0</x:v>
      </x:c>
      <x:c r="F11" s="37" t="n">
        <x:f>COUNTIFS('Test_Record'!$A$2:$A$481,A11,'Test_Record'!$E$2:$E$481,"Large",'Test_Record'!$F$2:$F$481,"&lt;&gt;")</x:f>
        <x:v>0</x:v>
      </x:c>
      <x:c r="G11" s="37" t="n">
        <x:f>COUNTIFS('Test_Record'!$A$2:$A$481,A11,'Test_Record'!$E$2:$E$481,"Small",'Test_Record'!$O$2:$O$481,"Yes")</x:f>
        <x:v>0</x:v>
      </x:c>
      <x:c r="H11" s="38" t="n">
        <x:f>IFERROR(G11/D11,0)</x:f>
        <x:v>0</x:v>
      </x:c>
      <x:c r="I11" s="37" t="n">
        <x:f>SUMIFS('Test_Record'!$I$2:$I$481,'Test_Record'!$A$2:$A$481,A11,'Test_Record'!$H$2:$H$481,"Pick",'Test_Record'!$E$2:$E$481,"&lt;&gt;Small")</x:f>
        <x:v>0</x:v>
      </x:c>
      <x:c r="J11" s="37" t="n">
        <x:f>COUNTIFS('Test_Record'!$A$2:$A$481,A11,'Test_Record'!$E$2:$E$481,"&lt;&gt;Small",'Test_Record'!$H$2:$H$481,"Pick",'Test_Record'!$J$2:$J$481,"Yes")</x:f>
        <x:v>0</x:v>
      </x:c>
      <x:c r="K11" s="38" t="n">
        <x:f>IFERROR(J11/COUNTIFS('Test_Record'!$A$2:$A$481,A11,'Test_Record'!$E$2:$E$481,"&lt;&gt;Small",'Test_Record'!$H$2:$H$481,"Pick"),0)</x:f>
        <x:v>0</x:v>
      </x:c>
      <x:c r="L11" s="37" t="n">
        <x:f>COUNTIFS('Test_Record'!$A$2:$A$481,A11,'Test_Record'!$E$2:$E$481,"&lt;&gt;Small",'Test_Record'!$H$2:$H$481,"Pick",'Test_Record'!$K$2:$K$481,"Yes")</x:f>
        <x:v>0</x:v>
      </x:c>
      <x:c r="M11" s="38" t="n">
        <x:f>IFERROR(L11/COUNTIFS('Test_Record'!$A$2:$A$481,A11,'Test_Record'!$E$2:$E$481,"&lt;&gt;Small",'Test_Record'!$H$2:$H$481,"Pick"),0)</x:f>
        <x:v>0</x:v>
      </x:c>
      <x:c r="N11" s="37" t="n">
        <x:f>COUNTIFS('Test_Record'!$A$2:$A$481,A11,'Test_Record'!$E$2:$E$481,"&lt;&gt;Small",'Test_Record'!$H$2:$H$481,"Pick",'Test_Record'!$N$2:$N$481,"Yes")</x:f>
        <x:v>0</x:v>
      </x:c>
      <x:c r="O11" s="38" t="n">
        <x:f>IFERROR(N11/COUNTIFS('Test_Record'!$A$2:$A$481,A11,'Test_Record'!$E$2:$E$481,"&lt;&gt;Small",'Test_Record'!$H$2:$H$481,"Pick"),0)</x:f>
        <x:v>0</x:v>
      </x:c>
      <x:c r="P11" s="37" t="n">
        <x:f>COUNTIFS('Test_Record'!$A$2:$A$481,A11,'Test_Record'!$O$2:$O$481,"Yes")</x:f>
        <x:v>0</x:v>
      </x:c>
      <x:c r="Q11" s="38" t="n">
        <x:f>IFERROR(P11/C11,0)</x:f>
        <x:v>0</x:v>
      </x:c>
      <x:c r="R11" s="39" t="n">
        <x:f>SUMIFS('Test_Record'!$Q$2:$Q$481,'Test_Record'!$A$2:$A$481,A11)</x:f>
        <x:v>0</x:v>
      </x:c>
      <x:c r="S11" s="39" t="n">
        <x:f>IFERROR(AVERAGEIFS('Test_Record'!$Q$2:$Q$481,'Test_Record'!$A$2:$A$481,A11,'Test_Record'!$Q$2:$Q$481,"&gt;=0"),0)</x:f>
        <x:v>0</x:v>
      </x:c>
      <x:c r="T11" s="31"/>
    </x:row>
    <x:row r="12">
      <x:c r="A12" s="40" t="n">
        <x:v>11</x:v>
      </x:c>
      <x:c r="B12" s="37" t="str">
        <x:f>INDEX('Config'!$W$2:$W$5,MOD(A12-1,4)+1)</x:f>
        <x:v>C → D → A → B</x:v>
      </x:c>
      <x:c r="C12" s="37" t="n">
        <x:f>COUNTIFS('Test_Record'!$A$2:$A$481,A12,'Test_Record'!$F$2:$F$481,"&lt;&gt;")</x:f>
        <x:v>0</x:v>
      </x:c>
      <x:c r="D12" s="37" t="n">
        <x:f>COUNTIFS('Test_Record'!$A$2:$A$481,A12,'Test_Record'!$E$2:$E$481,"Small",'Test_Record'!$F$2:$F$481,"&lt;&gt;")</x:f>
        <x:v>0</x:v>
      </x:c>
      <x:c r="E12" s="37" t="n">
        <x:f>COUNTIFS('Test_Record'!$A$2:$A$481,A12,'Test_Record'!$E$2:$E$481,"Normal",'Test_Record'!$F$2:$F$481,"&lt;&gt;")</x:f>
        <x:v>0</x:v>
      </x:c>
      <x:c r="F12" s="37" t="n">
        <x:f>COUNTIFS('Test_Record'!$A$2:$A$481,A12,'Test_Record'!$E$2:$E$481,"Large",'Test_Record'!$F$2:$F$481,"&lt;&gt;")</x:f>
        <x:v>0</x:v>
      </x:c>
      <x:c r="G12" s="37" t="n">
        <x:f>COUNTIFS('Test_Record'!$A$2:$A$481,A12,'Test_Record'!$E$2:$E$481,"Small",'Test_Record'!$O$2:$O$481,"Yes")</x:f>
        <x:v>0</x:v>
      </x:c>
      <x:c r="H12" s="38" t="n">
        <x:f>IFERROR(G12/D12,0)</x:f>
        <x:v>0</x:v>
      </x:c>
      <x:c r="I12" s="37" t="n">
        <x:f>SUMIFS('Test_Record'!$I$2:$I$481,'Test_Record'!$A$2:$A$481,A12,'Test_Record'!$H$2:$H$481,"Pick",'Test_Record'!$E$2:$E$481,"&lt;&gt;Small")</x:f>
        <x:v>0</x:v>
      </x:c>
      <x:c r="J12" s="37" t="n">
        <x:f>COUNTIFS('Test_Record'!$A$2:$A$481,A12,'Test_Record'!$E$2:$E$481,"&lt;&gt;Small",'Test_Record'!$H$2:$H$481,"Pick",'Test_Record'!$J$2:$J$481,"Yes")</x:f>
        <x:v>0</x:v>
      </x:c>
      <x:c r="K12" s="38" t="n">
        <x:f>IFERROR(J12/COUNTIFS('Test_Record'!$A$2:$A$481,A12,'Test_Record'!$E$2:$E$481,"&lt;&gt;Small",'Test_Record'!$H$2:$H$481,"Pick"),0)</x:f>
        <x:v>0</x:v>
      </x:c>
      <x:c r="L12" s="37" t="n">
        <x:f>COUNTIFS('Test_Record'!$A$2:$A$481,A12,'Test_Record'!$E$2:$E$481,"&lt;&gt;Small",'Test_Record'!$H$2:$H$481,"Pick",'Test_Record'!$K$2:$K$481,"Yes")</x:f>
        <x:v>0</x:v>
      </x:c>
      <x:c r="M12" s="38" t="n">
        <x:f>IFERROR(L12/COUNTIFS('Test_Record'!$A$2:$A$481,A12,'Test_Record'!$E$2:$E$481,"&lt;&gt;Small",'Test_Record'!$H$2:$H$481,"Pick"),0)</x:f>
        <x:v>0</x:v>
      </x:c>
      <x:c r="N12" s="37" t="n">
        <x:f>COUNTIFS('Test_Record'!$A$2:$A$481,A12,'Test_Record'!$E$2:$E$481,"&lt;&gt;Small",'Test_Record'!$H$2:$H$481,"Pick",'Test_Record'!$N$2:$N$481,"Yes")</x:f>
        <x:v>0</x:v>
      </x:c>
      <x:c r="O12" s="38" t="n">
        <x:f>IFERROR(N12/COUNTIFS('Test_Record'!$A$2:$A$481,A12,'Test_Record'!$E$2:$E$481,"&lt;&gt;Small",'Test_Record'!$H$2:$H$481,"Pick"),0)</x:f>
        <x:v>0</x:v>
      </x:c>
      <x:c r="P12" s="37" t="n">
        <x:f>COUNTIFS('Test_Record'!$A$2:$A$481,A12,'Test_Record'!$O$2:$O$481,"Yes")</x:f>
        <x:v>0</x:v>
      </x:c>
      <x:c r="Q12" s="38" t="n">
        <x:f>IFERROR(P12/C12,0)</x:f>
        <x:v>0</x:v>
      </x:c>
      <x:c r="R12" s="39" t="n">
        <x:f>SUMIFS('Test_Record'!$Q$2:$Q$481,'Test_Record'!$A$2:$A$481,A12)</x:f>
        <x:v>0</x:v>
      </x:c>
      <x:c r="S12" s="39" t="n">
        <x:f>IFERROR(AVERAGEIFS('Test_Record'!$Q$2:$Q$481,'Test_Record'!$A$2:$A$481,A12,'Test_Record'!$Q$2:$Q$481,"&gt;=0"),0)</x:f>
        <x:v>0</x:v>
      </x:c>
      <x:c r="T12" s="31"/>
    </x:row>
    <x:row r="13">
      <x:c r="A13" s="40" t="n">
        <x:v>12</x:v>
      </x:c>
      <x:c r="B13" s="37" t="str">
        <x:f>INDEX('Config'!$W$2:$W$5,MOD(A13-1,4)+1)</x:f>
        <x:v>D → A → B → C</x:v>
      </x:c>
      <x:c r="C13" s="37" t="n">
        <x:f>COUNTIFS('Test_Record'!$A$2:$A$481,A13,'Test_Record'!$F$2:$F$481,"&lt;&gt;")</x:f>
        <x:v>0</x:v>
      </x:c>
      <x:c r="D13" s="37" t="n">
        <x:f>COUNTIFS('Test_Record'!$A$2:$A$481,A13,'Test_Record'!$E$2:$E$481,"Small",'Test_Record'!$F$2:$F$481,"&lt;&gt;")</x:f>
        <x:v>0</x:v>
      </x:c>
      <x:c r="E13" s="37" t="n">
        <x:f>COUNTIFS('Test_Record'!$A$2:$A$481,A13,'Test_Record'!$E$2:$E$481,"Normal",'Test_Record'!$F$2:$F$481,"&lt;&gt;")</x:f>
        <x:v>0</x:v>
      </x:c>
      <x:c r="F13" s="37" t="n">
        <x:f>COUNTIFS('Test_Record'!$A$2:$A$481,A13,'Test_Record'!$E$2:$E$481,"Large",'Test_Record'!$F$2:$F$481,"&lt;&gt;")</x:f>
        <x:v>0</x:v>
      </x:c>
      <x:c r="G13" s="37" t="n">
        <x:f>COUNTIFS('Test_Record'!$A$2:$A$481,A13,'Test_Record'!$E$2:$E$481,"Small",'Test_Record'!$O$2:$O$481,"Yes")</x:f>
        <x:v>0</x:v>
      </x:c>
      <x:c r="H13" s="38" t="n">
        <x:f>IFERROR(G13/D13,0)</x:f>
        <x:v>0</x:v>
      </x:c>
      <x:c r="I13" s="37" t="n">
        <x:f>SUMIFS('Test_Record'!$I$2:$I$481,'Test_Record'!$A$2:$A$481,A13,'Test_Record'!$H$2:$H$481,"Pick",'Test_Record'!$E$2:$E$481,"&lt;&gt;Small")</x:f>
        <x:v>0</x:v>
      </x:c>
      <x:c r="J13" s="37" t="n">
        <x:f>COUNTIFS('Test_Record'!$A$2:$A$481,A13,'Test_Record'!$E$2:$E$481,"&lt;&gt;Small",'Test_Record'!$H$2:$H$481,"Pick",'Test_Record'!$J$2:$J$481,"Yes")</x:f>
        <x:v>0</x:v>
      </x:c>
      <x:c r="K13" s="38" t="n">
        <x:f>IFERROR(J13/COUNTIFS('Test_Record'!$A$2:$A$481,A13,'Test_Record'!$E$2:$E$481,"&lt;&gt;Small",'Test_Record'!$H$2:$H$481,"Pick"),0)</x:f>
        <x:v>0</x:v>
      </x:c>
      <x:c r="L13" s="37" t="n">
        <x:f>COUNTIFS('Test_Record'!$A$2:$A$481,A13,'Test_Record'!$E$2:$E$481,"&lt;&gt;Small",'Test_Record'!$H$2:$H$481,"Pick",'Test_Record'!$K$2:$K$481,"Yes")</x:f>
        <x:v>0</x:v>
      </x:c>
      <x:c r="M13" s="38" t="n">
        <x:f>IFERROR(L13/COUNTIFS('Test_Record'!$A$2:$A$481,A13,'Test_Record'!$E$2:$E$481,"&lt;&gt;Small",'Test_Record'!$H$2:$H$481,"Pick"),0)</x:f>
        <x:v>0</x:v>
      </x:c>
      <x:c r="N13" s="37" t="n">
        <x:f>COUNTIFS('Test_Record'!$A$2:$A$481,A13,'Test_Record'!$E$2:$E$481,"&lt;&gt;Small",'Test_Record'!$H$2:$H$481,"Pick",'Test_Record'!$N$2:$N$481,"Yes")</x:f>
        <x:v>0</x:v>
      </x:c>
      <x:c r="O13" s="38" t="n">
        <x:f>IFERROR(N13/COUNTIFS('Test_Record'!$A$2:$A$481,A13,'Test_Record'!$E$2:$E$481,"&lt;&gt;Small",'Test_Record'!$H$2:$H$481,"Pick"),0)</x:f>
        <x:v>0</x:v>
      </x:c>
      <x:c r="P13" s="37" t="n">
        <x:f>COUNTIFS('Test_Record'!$A$2:$A$481,A13,'Test_Record'!$O$2:$O$481,"Yes")</x:f>
        <x:v>0</x:v>
      </x:c>
      <x:c r="Q13" s="38" t="n">
        <x:f>IFERROR(P13/C13,0)</x:f>
        <x:v>0</x:v>
      </x:c>
      <x:c r="R13" s="39" t="n">
        <x:f>SUMIFS('Test_Record'!$Q$2:$Q$481,'Test_Record'!$A$2:$A$481,A13)</x:f>
        <x:v>0</x:v>
      </x:c>
      <x:c r="S13" s="39" t="n">
        <x:f>IFERROR(AVERAGEIFS('Test_Record'!$Q$2:$Q$481,'Test_Record'!$A$2:$A$481,A13,'Test_Record'!$Q$2:$Q$481,"&gt;=0"),0)</x:f>
        <x:v>0</x:v>
      </x:c>
      <x:c r="T13" s="31"/>
    </x:row>
    <x:row r="14">
      <x:c r="A14" s="40" t="n">
        <x:v>13</x:v>
      </x:c>
      <x:c r="B14" s="37" t="str">
        <x:f>INDEX('Config'!$W$2:$W$5,MOD(A14-1,4)+1)</x:f>
        <x:v>A → B → C → D</x:v>
      </x:c>
      <x:c r="C14" s="37" t="n">
        <x:f>COUNTIFS('Test_Record'!$A$2:$A$481,A14,'Test_Record'!$F$2:$F$481,"&lt;&gt;")</x:f>
        <x:v>0</x:v>
      </x:c>
      <x:c r="D14" s="37" t="n">
        <x:f>COUNTIFS('Test_Record'!$A$2:$A$481,A14,'Test_Record'!$E$2:$E$481,"Small",'Test_Record'!$F$2:$F$481,"&lt;&gt;")</x:f>
        <x:v>0</x:v>
      </x:c>
      <x:c r="E14" s="37" t="n">
        <x:f>COUNTIFS('Test_Record'!$A$2:$A$481,A14,'Test_Record'!$E$2:$E$481,"Normal",'Test_Record'!$F$2:$F$481,"&lt;&gt;")</x:f>
        <x:v>0</x:v>
      </x:c>
      <x:c r="F14" s="37" t="n">
        <x:f>COUNTIFS('Test_Record'!$A$2:$A$481,A14,'Test_Record'!$E$2:$E$481,"Large",'Test_Record'!$F$2:$F$481,"&lt;&gt;")</x:f>
        <x:v>0</x:v>
      </x:c>
      <x:c r="G14" s="37" t="n">
        <x:f>COUNTIFS('Test_Record'!$A$2:$A$481,A14,'Test_Record'!$E$2:$E$481,"Small",'Test_Record'!$O$2:$O$481,"Yes")</x:f>
        <x:v>0</x:v>
      </x:c>
      <x:c r="H14" s="38" t="n">
        <x:f>IFERROR(G14/D14,0)</x:f>
        <x:v>0</x:v>
      </x:c>
      <x:c r="I14" s="37" t="n">
        <x:f>SUMIFS('Test_Record'!$I$2:$I$481,'Test_Record'!$A$2:$A$481,A14,'Test_Record'!$H$2:$H$481,"Pick",'Test_Record'!$E$2:$E$481,"&lt;&gt;Small")</x:f>
        <x:v>0</x:v>
      </x:c>
      <x:c r="J14" s="37" t="n">
        <x:f>COUNTIFS('Test_Record'!$A$2:$A$481,A14,'Test_Record'!$E$2:$E$481,"&lt;&gt;Small",'Test_Record'!$H$2:$H$481,"Pick",'Test_Record'!$J$2:$J$481,"Yes")</x:f>
        <x:v>0</x:v>
      </x:c>
      <x:c r="K14" s="38" t="n">
        <x:f>IFERROR(J14/COUNTIFS('Test_Record'!$A$2:$A$481,A14,'Test_Record'!$E$2:$E$481,"&lt;&gt;Small",'Test_Record'!$H$2:$H$481,"Pick"),0)</x:f>
        <x:v>0</x:v>
      </x:c>
      <x:c r="L14" s="37" t="n">
        <x:f>COUNTIFS('Test_Record'!$A$2:$A$481,A14,'Test_Record'!$E$2:$E$481,"&lt;&gt;Small",'Test_Record'!$H$2:$H$481,"Pick",'Test_Record'!$K$2:$K$481,"Yes")</x:f>
        <x:v>0</x:v>
      </x:c>
      <x:c r="M14" s="38" t="n">
        <x:f>IFERROR(L14/COUNTIFS('Test_Record'!$A$2:$A$481,A14,'Test_Record'!$E$2:$E$481,"&lt;&gt;Small",'Test_Record'!$H$2:$H$481,"Pick"),0)</x:f>
        <x:v>0</x:v>
      </x:c>
      <x:c r="N14" s="37" t="n">
        <x:f>COUNTIFS('Test_Record'!$A$2:$A$481,A14,'Test_Record'!$E$2:$E$481,"&lt;&gt;Small",'Test_Record'!$H$2:$H$481,"Pick",'Test_Record'!$N$2:$N$481,"Yes")</x:f>
        <x:v>0</x:v>
      </x:c>
      <x:c r="O14" s="38" t="n">
        <x:f>IFERROR(N14/COUNTIFS('Test_Record'!$A$2:$A$481,A14,'Test_Record'!$E$2:$E$481,"&lt;&gt;Small",'Test_Record'!$H$2:$H$481,"Pick"),0)</x:f>
        <x:v>0</x:v>
      </x:c>
      <x:c r="P14" s="37" t="n">
        <x:f>COUNTIFS('Test_Record'!$A$2:$A$481,A14,'Test_Record'!$O$2:$O$481,"Yes")</x:f>
        <x:v>0</x:v>
      </x:c>
      <x:c r="Q14" s="38" t="n">
        <x:f>IFERROR(P14/C14,0)</x:f>
        <x:v>0</x:v>
      </x:c>
      <x:c r="R14" s="39" t="n">
        <x:f>SUMIFS('Test_Record'!$Q$2:$Q$481,'Test_Record'!$A$2:$A$481,A14)</x:f>
        <x:v>0</x:v>
      </x:c>
      <x:c r="S14" s="39" t="n">
        <x:f>IFERROR(AVERAGEIFS('Test_Record'!$Q$2:$Q$481,'Test_Record'!$A$2:$A$481,A14,'Test_Record'!$Q$2:$Q$481,"&gt;=0"),0)</x:f>
        <x:v>0</x:v>
      </x:c>
      <x:c r="T14" s="31"/>
    </x:row>
    <x:row r="15">
      <x:c r="A15" s="40" t="n">
        <x:v>14</x:v>
      </x:c>
      <x:c r="B15" s="37" t="str">
        <x:f>INDEX('Config'!$W$2:$W$5,MOD(A15-1,4)+1)</x:f>
        <x:v>B → C → D → A</x:v>
      </x:c>
      <x:c r="C15" s="37" t="n">
        <x:f>COUNTIFS('Test_Record'!$A$2:$A$481,A15,'Test_Record'!$F$2:$F$481,"&lt;&gt;")</x:f>
        <x:v>0</x:v>
      </x:c>
      <x:c r="D15" s="37" t="n">
        <x:f>COUNTIFS('Test_Record'!$A$2:$A$481,A15,'Test_Record'!$E$2:$E$481,"Small",'Test_Record'!$F$2:$F$481,"&lt;&gt;")</x:f>
        <x:v>0</x:v>
      </x:c>
      <x:c r="E15" s="37" t="n">
        <x:f>COUNTIFS('Test_Record'!$A$2:$A$481,A15,'Test_Record'!$E$2:$E$481,"Normal",'Test_Record'!$F$2:$F$481,"&lt;&gt;")</x:f>
        <x:v>0</x:v>
      </x:c>
      <x:c r="F15" s="37" t="n">
        <x:f>COUNTIFS('Test_Record'!$A$2:$A$481,A15,'Test_Record'!$E$2:$E$481,"Large",'Test_Record'!$F$2:$F$481,"&lt;&gt;")</x:f>
        <x:v>0</x:v>
      </x:c>
      <x:c r="G15" s="37" t="n">
        <x:f>COUNTIFS('Test_Record'!$A$2:$A$481,A15,'Test_Record'!$E$2:$E$481,"Small",'Test_Record'!$O$2:$O$481,"Yes")</x:f>
        <x:v>0</x:v>
      </x:c>
      <x:c r="H15" s="38" t="n">
        <x:f>IFERROR(G15/D15,0)</x:f>
        <x:v>0</x:v>
      </x:c>
      <x:c r="I15" s="37" t="n">
        <x:f>SUMIFS('Test_Record'!$I$2:$I$481,'Test_Record'!$A$2:$A$481,A15,'Test_Record'!$H$2:$H$481,"Pick",'Test_Record'!$E$2:$E$481,"&lt;&gt;Small")</x:f>
        <x:v>0</x:v>
      </x:c>
      <x:c r="J15" s="37" t="n">
        <x:f>COUNTIFS('Test_Record'!$A$2:$A$481,A15,'Test_Record'!$E$2:$E$481,"&lt;&gt;Small",'Test_Record'!$H$2:$H$481,"Pick",'Test_Record'!$J$2:$J$481,"Yes")</x:f>
        <x:v>0</x:v>
      </x:c>
      <x:c r="K15" s="38" t="n">
        <x:f>IFERROR(J15/COUNTIFS('Test_Record'!$A$2:$A$481,A15,'Test_Record'!$E$2:$E$481,"&lt;&gt;Small",'Test_Record'!$H$2:$H$481,"Pick"),0)</x:f>
        <x:v>0</x:v>
      </x:c>
      <x:c r="L15" s="37" t="n">
        <x:f>COUNTIFS('Test_Record'!$A$2:$A$481,A15,'Test_Record'!$E$2:$E$481,"&lt;&gt;Small",'Test_Record'!$H$2:$H$481,"Pick",'Test_Record'!$K$2:$K$481,"Yes")</x:f>
        <x:v>0</x:v>
      </x:c>
      <x:c r="M15" s="38" t="n">
        <x:f>IFERROR(L15/COUNTIFS('Test_Record'!$A$2:$A$481,A15,'Test_Record'!$E$2:$E$481,"&lt;&gt;Small",'Test_Record'!$H$2:$H$481,"Pick"),0)</x:f>
        <x:v>0</x:v>
      </x:c>
      <x:c r="N15" s="37" t="n">
        <x:f>COUNTIFS('Test_Record'!$A$2:$A$481,A15,'Test_Record'!$E$2:$E$481,"&lt;&gt;Small",'Test_Record'!$H$2:$H$481,"Pick",'Test_Record'!$N$2:$N$481,"Yes")</x:f>
        <x:v>0</x:v>
      </x:c>
      <x:c r="O15" s="38" t="n">
        <x:f>IFERROR(N15/COUNTIFS('Test_Record'!$A$2:$A$481,A15,'Test_Record'!$E$2:$E$481,"&lt;&gt;Small",'Test_Record'!$H$2:$H$481,"Pick"),0)</x:f>
        <x:v>0</x:v>
      </x:c>
      <x:c r="P15" s="37" t="n">
        <x:f>COUNTIFS('Test_Record'!$A$2:$A$481,A15,'Test_Record'!$O$2:$O$481,"Yes")</x:f>
        <x:v>0</x:v>
      </x:c>
      <x:c r="Q15" s="38" t="n">
        <x:f>IFERROR(P15/C15,0)</x:f>
        <x:v>0</x:v>
      </x:c>
      <x:c r="R15" s="39" t="n">
        <x:f>SUMIFS('Test_Record'!$Q$2:$Q$481,'Test_Record'!$A$2:$A$481,A15)</x:f>
        <x:v>0</x:v>
      </x:c>
      <x:c r="S15" s="39" t="n">
        <x:f>IFERROR(AVERAGEIFS('Test_Record'!$Q$2:$Q$481,'Test_Record'!$A$2:$A$481,A15,'Test_Record'!$Q$2:$Q$481,"&gt;=0"),0)</x:f>
        <x:v>0</x:v>
      </x:c>
      <x:c r="T15" s="31"/>
    </x:row>
    <x:row r="16">
      <x:c r="A16" s="40" t="n">
        <x:v>15</x:v>
      </x:c>
      <x:c r="B16" s="37" t="str">
        <x:f>INDEX('Config'!$W$2:$W$5,MOD(A16-1,4)+1)</x:f>
        <x:v>C → D → A → B</x:v>
      </x:c>
      <x:c r="C16" s="37" t="n">
        <x:f>COUNTIFS('Test_Record'!$A$2:$A$481,A16,'Test_Record'!$F$2:$F$481,"&lt;&gt;")</x:f>
        <x:v>0</x:v>
      </x:c>
      <x:c r="D16" s="37" t="n">
        <x:f>COUNTIFS('Test_Record'!$A$2:$A$481,A16,'Test_Record'!$E$2:$E$481,"Small",'Test_Record'!$F$2:$F$481,"&lt;&gt;")</x:f>
        <x:v>0</x:v>
      </x:c>
      <x:c r="E16" s="37" t="n">
        <x:f>COUNTIFS('Test_Record'!$A$2:$A$481,A16,'Test_Record'!$E$2:$E$481,"Normal",'Test_Record'!$F$2:$F$481,"&lt;&gt;")</x:f>
        <x:v>0</x:v>
      </x:c>
      <x:c r="F16" s="37" t="n">
        <x:f>COUNTIFS('Test_Record'!$A$2:$A$481,A16,'Test_Record'!$E$2:$E$481,"Large",'Test_Record'!$F$2:$F$481,"&lt;&gt;")</x:f>
        <x:v>0</x:v>
      </x:c>
      <x:c r="G16" s="37" t="n">
        <x:f>COUNTIFS('Test_Record'!$A$2:$A$481,A16,'Test_Record'!$E$2:$E$481,"Small",'Test_Record'!$O$2:$O$481,"Yes")</x:f>
        <x:v>0</x:v>
      </x:c>
      <x:c r="H16" s="38" t="n">
        <x:f>IFERROR(G16/D16,0)</x:f>
        <x:v>0</x:v>
      </x:c>
      <x:c r="I16" s="37" t="n">
        <x:f>SUMIFS('Test_Record'!$I$2:$I$481,'Test_Record'!$A$2:$A$481,A16,'Test_Record'!$H$2:$H$481,"Pick",'Test_Record'!$E$2:$E$481,"&lt;&gt;Small")</x:f>
        <x:v>0</x:v>
      </x:c>
      <x:c r="J16" s="37" t="n">
        <x:f>COUNTIFS('Test_Record'!$A$2:$A$481,A16,'Test_Record'!$E$2:$E$481,"&lt;&gt;Small",'Test_Record'!$H$2:$H$481,"Pick",'Test_Record'!$J$2:$J$481,"Yes")</x:f>
        <x:v>0</x:v>
      </x:c>
      <x:c r="K16" s="38" t="n">
        <x:f>IFERROR(J16/COUNTIFS('Test_Record'!$A$2:$A$481,A16,'Test_Record'!$E$2:$E$481,"&lt;&gt;Small",'Test_Record'!$H$2:$H$481,"Pick"),0)</x:f>
        <x:v>0</x:v>
      </x:c>
      <x:c r="L16" s="37" t="n">
        <x:f>COUNTIFS('Test_Record'!$A$2:$A$481,A16,'Test_Record'!$E$2:$E$481,"&lt;&gt;Small",'Test_Record'!$H$2:$H$481,"Pick",'Test_Record'!$K$2:$K$481,"Yes")</x:f>
        <x:v>0</x:v>
      </x:c>
      <x:c r="M16" s="38" t="n">
        <x:f>IFERROR(L16/COUNTIFS('Test_Record'!$A$2:$A$481,A16,'Test_Record'!$E$2:$E$481,"&lt;&gt;Small",'Test_Record'!$H$2:$H$481,"Pick"),0)</x:f>
        <x:v>0</x:v>
      </x:c>
      <x:c r="N16" s="37" t="n">
        <x:f>COUNTIFS('Test_Record'!$A$2:$A$481,A16,'Test_Record'!$E$2:$E$481,"&lt;&gt;Small",'Test_Record'!$H$2:$H$481,"Pick",'Test_Record'!$N$2:$N$481,"Yes")</x:f>
        <x:v>0</x:v>
      </x:c>
      <x:c r="O16" s="38" t="n">
        <x:f>IFERROR(N16/COUNTIFS('Test_Record'!$A$2:$A$481,A16,'Test_Record'!$E$2:$E$481,"&lt;&gt;Small",'Test_Record'!$H$2:$H$481,"Pick"),0)</x:f>
        <x:v>0</x:v>
      </x:c>
      <x:c r="P16" s="37" t="n">
        <x:f>COUNTIFS('Test_Record'!$A$2:$A$481,A16,'Test_Record'!$O$2:$O$481,"Yes")</x:f>
        <x:v>0</x:v>
      </x:c>
      <x:c r="Q16" s="38" t="n">
        <x:f>IFERROR(P16/C16,0)</x:f>
        <x:v>0</x:v>
      </x:c>
      <x:c r="R16" s="39" t="n">
        <x:f>SUMIFS('Test_Record'!$Q$2:$Q$481,'Test_Record'!$A$2:$A$481,A16)</x:f>
        <x:v>0</x:v>
      </x:c>
      <x:c r="S16" s="39" t="n">
        <x:f>IFERROR(AVERAGEIFS('Test_Record'!$Q$2:$Q$481,'Test_Record'!$A$2:$A$481,A16,'Test_Record'!$Q$2:$Q$481,"&gt;=0"),0)</x:f>
        <x:v>0</x:v>
      </x:c>
      <x:c r="T16" s="31"/>
    </x:row>
    <x:row r="17">
      <x:c r="A17" s="40" t="n">
        <x:v>16</x:v>
      </x:c>
      <x:c r="B17" s="37" t="str">
        <x:f>INDEX('Config'!$W$2:$W$5,MOD(A17-1,4)+1)</x:f>
        <x:v>D → A → B → C</x:v>
      </x:c>
      <x:c r="C17" s="37" t="n">
        <x:f>COUNTIFS('Test_Record'!$A$2:$A$481,A17,'Test_Record'!$F$2:$F$481,"&lt;&gt;")</x:f>
        <x:v>0</x:v>
      </x:c>
      <x:c r="D17" s="37" t="n">
        <x:f>COUNTIFS('Test_Record'!$A$2:$A$481,A17,'Test_Record'!$E$2:$E$481,"Small",'Test_Record'!$F$2:$F$481,"&lt;&gt;")</x:f>
        <x:v>0</x:v>
      </x:c>
      <x:c r="E17" s="37" t="n">
        <x:f>COUNTIFS('Test_Record'!$A$2:$A$481,A17,'Test_Record'!$E$2:$E$481,"Normal",'Test_Record'!$F$2:$F$481,"&lt;&gt;")</x:f>
        <x:v>0</x:v>
      </x:c>
      <x:c r="F17" s="37" t="n">
        <x:f>COUNTIFS('Test_Record'!$A$2:$A$481,A17,'Test_Record'!$E$2:$E$481,"Large",'Test_Record'!$F$2:$F$481,"&lt;&gt;")</x:f>
        <x:v>0</x:v>
      </x:c>
      <x:c r="G17" s="37" t="n">
        <x:f>COUNTIFS('Test_Record'!$A$2:$A$481,A17,'Test_Record'!$E$2:$E$481,"Small",'Test_Record'!$O$2:$O$481,"Yes")</x:f>
        <x:v>0</x:v>
      </x:c>
      <x:c r="H17" s="38" t="n">
        <x:f>IFERROR(G17/D17,0)</x:f>
        <x:v>0</x:v>
      </x:c>
      <x:c r="I17" s="37" t="n">
        <x:f>SUMIFS('Test_Record'!$I$2:$I$481,'Test_Record'!$A$2:$A$481,A17,'Test_Record'!$H$2:$H$481,"Pick",'Test_Record'!$E$2:$E$481,"&lt;&gt;Small")</x:f>
        <x:v>0</x:v>
      </x:c>
      <x:c r="J17" s="37" t="n">
        <x:f>COUNTIFS('Test_Record'!$A$2:$A$481,A17,'Test_Record'!$E$2:$E$481,"&lt;&gt;Small",'Test_Record'!$H$2:$H$481,"Pick",'Test_Record'!$J$2:$J$481,"Yes")</x:f>
        <x:v>0</x:v>
      </x:c>
      <x:c r="K17" s="38" t="n">
        <x:f>IFERROR(J17/COUNTIFS('Test_Record'!$A$2:$A$481,A17,'Test_Record'!$E$2:$E$481,"&lt;&gt;Small",'Test_Record'!$H$2:$H$481,"Pick"),0)</x:f>
        <x:v>0</x:v>
      </x:c>
      <x:c r="L17" s="37" t="n">
        <x:f>COUNTIFS('Test_Record'!$A$2:$A$481,A17,'Test_Record'!$E$2:$E$481,"&lt;&gt;Small",'Test_Record'!$H$2:$H$481,"Pick",'Test_Record'!$K$2:$K$481,"Yes")</x:f>
        <x:v>0</x:v>
      </x:c>
      <x:c r="M17" s="38" t="n">
        <x:f>IFERROR(L17/COUNTIFS('Test_Record'!$A$2:$A$481,A17,'Test_Record'!$E$2:$E$481,"&lt;&gt;Small",'Test_Record'!$H$2:$H$481,"Pick"),0)</x:f>
        <x:v>0</x:v>
      </x:c>
      <x:c r="N17" s="37" t="n">
        <x:f>COUNTIFS('Test_Record'!$A$2:$A$481,A17,'Test_Record'!$E$2:$E$481,"&lt;&gt;Small",'Test_Record'!$H$2:$H$481,"Pick",'Test_Record'!$N$2:$N$481,"Yes")</x:f>
        <x:v>0</x:v>
      </x:c>
      <x:c r="O17" s="38" t="n">
        <x:f>IFERROR(N17/COUNTIFS('Test_Record'!$A$2:$A$481,A17,'Test_Record'!$E$2:$E$481,"&lt;&gt;Small",'Test_Record'!$H$2:$H$481,"Pick"),0)</x:f>
        <x:v>0</x:v>
      </x:c>
      <x:c r="P17" s="37" t="n">
        <x:f>COUNTIFS('Test_Record'!$A$2:$A$481,A17,'Test_Record'!$O$2:$O$481,"Yes")</x:f>
        <x:v>0</x:v>
      </x:c>
      <x:c r="Q17" s="38" t="n">
        <x:f>IFERROR(P17/C17,0)</x:f>
        <x:v>0</x:v>
      </x:c>
      <x:c r="R17" s="39" t="n">
        <x:f>SUMIFS('Test_Record'!$Q$2:$Q$481,'Test_Record'!$A$2:$A$481,A17)</x:f>
        <x:v>0</x:v>
      </x:c>
      <x:c r="S17" s="39" t="n">
        <x:f>IFERROR(AVERAGEIFS('Test_Record'!$Q$2:$Q$481,'Test_Record'!$A$2:$A$481,A17,'Test_Record'!$Q$2:$Q$481,"&gt;=0"),0)</x:f>
        <x:v>0</x:v>
      </x:c>
      <x:c r="T17" s="31"/>
    </x:row>
    <x:row r="18">
      <x:c r="A18" s="40" t="n">
        <x:v>17</x:v>
      </x:c>
      <x:c r="B18" s="37" t="str">
        <x:f>INDEX('Config'!$W$2:$W$5,MOD(A18-1,4)+1)</x:f>
        <x:v>A → B → C → D</x:v>
      </x:c>
      <x:c r="C18" s="37" t="n">
        <x:f>COUNTIFS('Test_Record'!$A$2:$A$481,A18,'Test_Record'!$F$2:$F$481,"&lt;&gt;")</x:f>
        <x:v>0</x:v>
      </x:c>
      <x:c r="D18" s="37" t="n">
        <x:f>COUNTIFS('Test_Record'!$A$2:$A$481,A18,'Test_Record'!$E$2:$E$481,"Small",'Test_Record'!$F$2:$F$481,"&lt;&gt;")</x:f>
        <x:v>0</x:v>
      </x:c>
      <x:c r="E18" s="37" t="n">
        <x:f>COUNTIFS('Test_Record'!$A$2:$A$481,A18,'Test_Record'!$E$2:$E$481,"Normal",'Test_Record'!$F$2:$F$481,"&lt;&gt;")</x:f>
        <x:v>0</x:v>
      </x:c>
      <x:c r="F18" s="37" t="n">
        <x:f>COUNTIFS('Test_Record'!$A$2:$A$481,A18,'Test_Record'!$E$2:$E$481,"Large",'Test_Record'!$F$2:$F$481,"&lt;&gt;")</x:f>
        <x:v>0</x:v>
      </x:c>
      <x:c r="G18" s="37" t="n">
        <x:f>COUNTIFS('Test_Record'!$A$2:$A$481,A18,'Test_Record'!$E$2:$E$481,"Small",'Test_Record'!$O$2:$O$481,"Yes")</x:f>
        <x:v>0</x:v>
      </x:c>
      <x:c r="H18" s="38" t="n">
        <x:f>IFERROR(G18/D18,0)</x:f>
        <x:v>0</x:v>
      </x:c>
      <x:c r="I18" s="37" t="n">
        <x:f>SUMIFS('Test_Record'!$I$2:$I$481,'Test_Record'!$A$2:$A$481,A18,'Test_Record'!$H$2:$H$481,"Pick",'Test_Record'!$E$2:$E$481,"&lt;&gt;Small")</x:f>
        <x:v>0</x:v>
      </x:c>
      <x:c r="J18" s="37" t="n">
        <x:f>COUNTIFS('Test_Record'!$A$2:$A$481,A18,'Test_Record'!$E$2:$E$481,"&lt;&gt;Small",'Test_Record'!$H$2:$H$481,"Pick",'Test_Record'!$J$2:$J$481,"Yes")</x:f>
        <x:v>0</x:v>
      </x:c>
      <x:c r="K18" s="38" t="n">
        <x:f>IFERROR(J18/COUNTIFS('Test_Record'!$A$2:$A$481,A18,'Test_Record'!$E$2:$E$481,"&lt;&gt;Small",'Test_Record'!$H$2:$H$481,"Pick"),0)</x:f>
        <x:v>0</x:v>
      </x:c>
      <x:c r="L18" s="37" t="n">
        <x:f>COUNTIFS('Test_Record'!$A$2:$A$481,A18,'Test_Record'!$E$2:$E$481,"&lt;&gt;Small",'Test_Record'!$H$2:$H$481,"Pick",'Test_Record'!$K$2:$K$481,"Yes")</x:f>
        <x:v>0</x:v>
      </x:c>
      <x:c r="M18" s="38" t="n">
        <x:f>IFERROR(L18/COUNTIFS('Test_Record'!$A$2:$A$481,A18,'Test_Record'!$E$2:$E$481,"&lt;&gt;Small",'Test_Record'!$H$2:$H$481,"Pick"),0)</x:f>
        <x:v>0</x:v>
      </x:c>
      <x:c r="N18" s="37" t="n">
        <x:f>COUNTIFS('Test_Record'!$A$2:$A$481,A18,'Test_Record'!$E$2:$E$481,"&lt;&gt;Small",'Test_Record'!$H$2:$H$481,"Pick",'Test_Record'!$N$2:$N$481,"Yes")</x:f>
        <x:v>0</x:v>
      </x:c>
      <x:c r="O18" s="38" t="n">
        <x:f>IFERROR(N18/COUNTIFS('Test_Record'!$A$2:$A$481,A18,'Test_Record'!$E$2:$E$481,"&lt;&gt;Small",'Test_Record'!$H$2:$H$481,"Pick"),0)</x:f>
        <x:v>0</x:v>
      </x:c>
      <x:c r="P18" s="37" t="n">
        <x:f>COUNTIFS('Test_Record'!$A$2:$A$481,A18,'Test_Record'!$O$2:$O$481,"Yes")</x:f>
        <x:v>0</x:v>
      </x:c>
      <x:c r="Q18" s="38" t="n">
        <x:f>IFERROR(P18/C18,0)</x:f>
        <x:v>0</x:v>
      </x:c>
      <x:c r="R18" s="39" t="n">
        <x:f>SUMIFS('Test_Record'!$Q$2:$Q$481,'Test_Record'!$A$2:$A$481,A18)</x:f>
        <x:v>0</x:v>
      </x:c>
      <x:c r="S18" s="39" t="n">
        <x:f>IFERROR(AVERAGEIFS('Test_Record'!$Q$2:$Q$481,'Test_Record'!$A$2:$A$481,A18,'Test_Record'!$Q$2:$Q$481,"&gt;=0"),0)</x:f>
        <x:v>0</x:v>
      </x:c>
      <x:c r="T18" s="31"/>
    </x:row>
    <x:row r="19">
      <x:c r="A19" s="40" t="n">
        <x:v>18</x:v>
      </x:c>
      <x:c r="B19" s="37" t="str">
        <x:f>INDEX('Config'!$W$2:$W$5,MOD(A19-1,4)+1)</x:f>
        <x:v>B → C → D → A</x:v>
      </x:c>
      <x:c r="C19" s="37" t="n">
        <x:f>COUNTIFS('Test_Record'!$A$2:$A$481,A19,'Test_Record'!$F$2:$F$481,"&lt;&gt;")</x:f>
        <x:v>0</x:v>
      </x:c>
      <x:c r="D19" s="37" t="n">
        <x:f>COUNTIFS('Test_Record'!$A$2:$A$481,A19,'Test_Record'!$E$2:$E$481,"Small",'Test_Record'!$F$2:$F$481,"&lt;&gt;")</x:f>
        <x:v>0</x:v>
      </x:c>
      <x:c r="E19" s="37" t="n">
        <x:f>COUNTIFS('Test_Record'!$A$2:$A$481,A19,'Test_Record'!$E$2:$E$481,"Normal",'Test_Record'!$F$2:$F$481,"&lt;&gt;")</x:f>
        <x:v>0</x:v>
      </x:c>
      <x:c r="F19" s="37" t="n">
        <x:f>COUNTIFS('Test_Record'!$A$2:$A$481,A19,'Test_Record'!$E$2:$E$481,"Large",'Test_Record'!$F$2:$F$481,"&lt;&gt;")</x:f>
        <x:v>0</x:v>
      </x:c>
      <x:c r="G19" s="37" t="n">
        <x:f>COUNTIFS('Test_Record'!$A$2:$A$481,A19,'Test_Record'!$E$2:$E$481,"Small",'Test_Record'!$O$2:$O$481,"Yes")</x:f>
        <x:v>0</x:v>
      </x:c>
      <x:c r="H19" s="38" t="n">
        <x:f>IFERROR(G19/D19,0)</x:f>
        <x:v>0</x:v>
      </x:c>
      <x:c r="I19" s="37" t="n">
        <x:f>SUMIFS('Test_Record'!$I$2:$I$481,'Test_Record'!$A$2:$A$481,A19,'Test_Record'!$H$2:$H$481,"Pick",'Test_Record'!$E$2:$E$481,"&lt;&gt;Small")</x:f>
        <x:v>0</x:v>
      </x:c>
      <x:c r="J19" s="37" t="n">
        <x:f>COUNTIFS('Test_Record'!$A$2:$A$481,A19,'Test_Record'!$E$2:$E$481,"&lt;&gt;Small",'Test_Record'!$H$2:$H$481,"Pick",'Test_Record'!$J$2:$J$481,"Yes")</x:f>
        <x:v>0</x:v>
      </x:c>
      <x:c r="K19" s="38" t="n">
        <x:f>IFERROR(J19/COUNTIFS('Test_Record'!$A$2:$A$481,A19,'Test_Record'!$E$2:$E$481,"&lt;&gt;Small",'Test_Record'!$H$2:$H$481,"Pick"),0)</x:f>
        <x:v>0</x:v>
      </x:c>
      <x:c r="L19" s="37" t="n">
        <x:f>COUNTIFS('Test_Record'!$A$2:$A$481,A19,'Test_Record'!$E$2:$E$481,"&lt;&gt;Small",'Test_Record'!$H$2:$H$481,"Pick",'Test_Record'!$K$2:$K$481,"Yes")</x:f>
        <x:v>0</x:v>
      </x:c>
      <x:c r="M19" s="38" t="n">
        <x:f>IFERROR(L19/COUNTIFS('Test_Record'!$A$2:$A$481,A19,'Test_Record'!$E$2:$E$481,"&lt;&gt;Small",'Test_Record'!$H$2:$H$481,"Pick"),0)</x:f>
        <x:v>0</x:v>
      </x:c>
      <x:c r="N19" s="37" t="n">
        <x:f>COUNTIFS('Test_Record'!$A$2:$A$481,A19,'Test_Record'!$E$2:$E$481,"&lt;&gt;Small",'Test_Record'!$H$2:$H$481,"Pick",'Test_Record'!$N$2:$N$481,"Yes")</x:f>
        <x:v>0</x:v>
      </x:c>
      <x:c r="O19" s="38" t="n">
        <x:f>IFERROR(N19/COUNTIFS('Test_Record'!$A$2:$A$481,A19,'Test_Record'!$E$2:$E$481,"&lt;&gt;Small",'Test_Record'!$H$2:$H$481,"Pick"),0)</x:f>
        <x:v>0</x:v>
      </x:c>
      <x:c r="P19" s="37" t="n">
        <x:f>COUNTIFS('Test_Record'!$A$2:$A$481,A19,'Test_Record'!$O$2:$O$481,"Yes")</x:f>
        <x:v>0</x:v>
      </x:c>
      <x:c r="Q19" s="38" t="n">
        <x:f>IFERROR(P19/C19,0)</x:f>
        <x:v>0</x:v>
      </x:c>
      <x:c r="R19" s="39" t="n">
        <x:f>SUMIFS('Test_Record'!$Q$2:$Q$481,'Test_Record'!$A$2:$A$481,A19)</x:f>
        <x:v>0</x:v>
      </x:c>
      <x:c r="S19" s="39" t="n">
        <x:f>IFERROR(AVERAGEIFS('Test_Record'!$Q$2:$Q$481,'Test_Record'!$A$2:$A$481,A19,'Test_Record'!$Q$2:$Q$481,"&gt;=0"),0)</x:f>
        <x:v>0</x:v>
      </x:c>
      <x:c r="T19" s="31"/>
    </x:row>
    <x:row r="20">
      <x:c r="A20" s="40" t="n">
        <x:v>19</x:v>
      </x:c>
      <x:c r="B20" s="37" t="str">
        <x:f>INDEX('Config'!$W$2:$W$5,MOD(A20-1,4)+1)</x:f>
        <x:v>C → D → A → B</x:v>
      </x:c>
      <x:c r="C20" s="37" t="n">
        <x:f>COUNTIFS('Test_Record'!$A$2:$A$481,A20,'Test_Record'!$F$2:$F$481,"&lt;&gt;")</x:f>
        <x:v>0</x:v>
      </x:c>
      <x:c r="D20" s="37" t="n">
        <x:f>COUNTIFS('Test_Record'!$A$2:$A$481,A20,'Test_Record'!$E$2:$E$481,"Small",'Test_Record'!$F$2:$F$481,"&lt;&gt;")</x:f>
        <x:v>0</x:v>
      </x:c>
      <x:c r="E20" s="37" t="n">
        <x:f>COUNTIFS('Test_Record'!$A$2:$A$481,A20,'Test_Record'!$E$2:$E$481,"Normal",'Test_Record'!$F$2:$F$481,"&lt;&gt;")</x:f>
        <x:v>0</x:v>
      </x:c>
      <x:c r="F20" s="37" t="n">
        <x:f>COUNTIFS('Test_Record'!$A$2:$A$481,A20,'Test_Record'!$E$2:$E$481,"Large",'Test_Record'!$F$2:$F$481,"&lt;&gt;")</x:f>
        <x:v>0</x:v>
      </x:c>
      <x:c r="G20" s="37" t="n">
        <x:f>COUNTIFS('Test_Record'!$A$2:$A$481,A20,'Test_Record'!$E$2:$E$481,"Small",'Test_Record'!$O$2:$O$481,"Yes")</x:f>
        <x:v>0</x:v>
      </x:c>
      <x:c r="H20" s="38" t="n">
        <x:f>IFERROR(G20/D20,0)</x:f>
        <x:v>0</x:v>
      </x:c>
      <x:c r="I20" s="37" t="n">
        <x:f>SUMIFS('Test_Record'!$I$2:$I$481,'Test_Record'!$A$2:$A$481,A20,'Test_Record'!$H$2:$H$481,"Pick",'Test_Record'!$E$2:$E$481,"&lt;&gt;Small")</x:f>
        <x:v>0</x:v>
      </x:c>
      <x:c r="J20" s="37" t="n">
        <x:f>COUNTIFS('Test_Record'!$A$2:$A$481,A20,'Test_Record'!$E$2:$E$481,"&lt;&gt;Small",'Test_Record'!$H$2:$H$481,"Pick",'Test_Record'!$J$2:$J$481,"Yes")</x:f>
        <x:v>0</x:v>
      </x:c>
      <x:c r="K20" s="38" t="n">
        <x:f>IFERROR(J20/COUNTIFS('Test_Record'!$A$2:$A$481,A20,'Test_Record'!$E$2:$E$481,"&lt;&gt;Small",'Test_Record'!$H$2:$H$481,"Pick"),0)</x:f>
        <x:v>0</x:v>
      </x:c>
      <x:c r="L20" s="37" t="n">
        <x:f>COUNTIFS('Test_Record'!$A$2:$A$481,A20,'Test_Record'!$E$2:$E$481,"&lt;&gt;Small",'Test_Record'!$H$2:$H$481,"Pick",'Test_Record'!$K$2:$K$481,"Yes")</x:f>
        <x:v>0</x:v>
      </x:c>
      <x:c r="M20" s="38" t="n">
        <x:f>IFERROR(L20/COUNTIFS('Test_Record'!$A$2:$A$481,A20,'Test_Record'!$E$2:$E$481,"&lt;&gt;Small",'Test_Record'!$H$2:$H$481,"Pick"),0)</x:f>
        <x:v>0</x:v>
      </x:c>
      <x:c r="N20" s="37" t="n">
        <x:f>COUNTIFS('Test_Record'!$A$2:$A$481,A20,'Test_Record'!$E$2:$E$481,"&lt;&gt;Small",'Test_Record'!$H$2:$H$481,"Pick",'Test_Record'!$N$2:$N$481,"Yes")</x:f>
        <x:v>0</x:v>
      </x:c>
      <x:c r="O20" s="38" t="n">
        <x:f>IFERROR(N20/COUNTIFS('Test_Record'!$A$2:$A$481,A20,'Test_Record'!$E$2:$E$481,"&lt;&gt;Small",'Test_Record'!$H$2:$H$481,"Pick"),0)</x:f>
        <x:v>0</x:v>
      </x:c>
      <x:c r="P20" s="37" t="n">
        <x:f>COUNTIFS('Test_Record'!$A$2:$A$481,A20,'Test_Record'!$O$2:$O$481,"Yes")</x:f>
        <x:v>0</x:v>
      </x:c>
      <x:c r="Q20" s="38" t="n">
        <x:f>IFERROR(P20/C20,0)</x:f>
        <x:v>0</x:v>
      </x:c>
      <x:c r="R20" s="39" t="n">
        <x:f>SUMIFS('Test_Record'!$Q$2:$Q$481,'Test_Record'!$A$2:$A$481,A20)</x:f>
        <x:v>0</x:v>
      </x:c>
      <x:c r="S20" s="39" t="n">
        <x:f>IFERROR(AVERAGEIFS('Test_Record'!$Q$2:$Q$481,'Test_Record'!$A$2:$A$481,A20,'Test_Record'!$Q$2:$Q$481,"&gt;=0"),0)</x:f>
        <x:v>0</x:v>
      </x:c>
      <x:c r="T20" s="31"/>
    </x:row>
    <x:row r="21">
      <x:c r="A21" s="40" t="n">
        <x:v>20</x:v>
      </x:c>
      <x:c r="B21" s="37" t="str">
        <x:f>INDEX('Config'!$W$2:$W$5,MOD(A21-1,4)+1)</x:f>
        <x:v>D → A → B → C</x:v>
      </x:c>
      <x:c r="C21" s="37" t="n">
        <x:f>COUNTIFS('Test_Record'!$A$2:$A$481,A21,'Test_Record'!$F$2:$F$481,"&lt;&gt;")</x:f>
        <x:v>0</x:v>
      </x:c>
      <x:c r="D21" s="37" t="n">
        <x:f>COUNTIFS('Test_Record'!$A$2:$A$481,A21,'Test_Record'!$E$2:$E$481,"Small",'Test_Record'!$F$2:$F$481,"&lt;&gt;")</x:f>
        <x:v>0</x:v>
      </x:c>
      <x:c r="E21" s="37" t="n">
        <x:f>COUNTIFS('Test_Record'!$A$2:$A$481,A21,'Test_Record'!$E$2:$E$481,"Normal",'Test_Record'!$F$2:$F$481,"&lt;&gt;")</x:f>
        <x:v>0</x:v>
      </x:c>
      <x:c r="F21" s="37" t="n">
        <x:f>COUNTIFS('Test_Record'!$A$2:$A$481,A21,'Test_Record'!$E$2:$E$481,"Large",'Test_Record'!$F$2:$F$481,"&lt;&gt;")</x:f>
        <x:v>0</x:v>
      </x:c>
      <x:c r="G21" s="37" t="n">
        <x:f>COUNTIFS('Test_Record'!$A$2:$A$481,A21,'Test_Record'!$E$2:$E$481,"Small",'Test_Record'!$O$2:$O$481,"Yes")</x:f>
        <x:v>0</x:v>
      </x:c>
      <x:c r="H21" s="38" t="n">
        <x:f>IFERROR(G21/D21,0)</x:f>
        <x:v>0</x:v>
      </x:c>
      <x:c r="I21" s="37" t="n">
        <x:f>SUMIFS('Test_Record'!$I$2:$I$481,'Test_Record'!$A$2:$A$481,A21,'Test_Record'!$H$2:$H$481,"Pick",'Test_Record'!$E$2:$E$481,"&lt;&gt;Small")</x:f>
        <x:v>0</x:v>
      </x:c>
      <x:c r="J21" s="37" t="n">
        <x:f>COUNTIFS('Test_Record'!$A$2:$A$481,A21,'Test_Record'!$E$2:$E$481,"&lt;&gt;Small",'Test_Record'!$H$2:$H$481,"Pick",'Test_Record'!$J$2:$J$481,"Yes")</x:f>
        <x:v>0</x:v>
      </x:c>
      <x:c r="K21" s="38" t="n">
        <x:f>IFERROR(J21/COUNTIFS('Test_Record'!$A$2:$A$481,A21,'Test_Record'!$E$2:$E$481,"&lt;&gt;Small",'Test_Record'!$H$2:$H$481,"Pick"),0)</x:f>
        <x:v>0</x:v>
      </x:c>
      <x:c r="L21" s="37" t="n">
        <x:f>COUNTIFS('Test_Record'!$A$2:$A$481,A21,'Test_Record'!$E$2:$E$481,"&lt;&gt;Small",'Test_Record'!$H$2:$H$481,"Pick",'Test_Record'!$K$2:$K$481,"Yes")</x:f>
        <x:v>0</x:v>
      </x:c>
      <x:c r="M21" s="38" t="n">
        <x:f>IFERROR(L21/COUNTIFS('Test_Record'!$A$2:$A$481,A21,'Test_Record'!$E$2:$E$481,"&lt;&gt;Small",'Test_Record'!$H$2:$H$481,"Pick"),0)</x:f>
        <x:v>0</x:v>
      </x:c>
      <x:c r="N21" s="37" t="n">
        <x:f>COUNTIFS('Test_Record'!$A$2:$A$481,A21,'Test_Record'!$E$2:$E$481,"&lt;&gt;Small",'Test_Record'!$H$2:$H$481,"Pick",'Test_Record'!$N$2:$N$481,"Yes")</x:f>
        <x:v>0</x:v>
      </x:c>
      <x:c r="O21" s="38" t="n">
        <x:f>IFERROR(N21/COUNTIFS('Test_Record'!$A$2:$A$481,A21,'Test_Record'!$E$2:$E$481,"&lt;&gt;Small",'Test_Record'!$H$2:$H$481,"Pick"),0)</x:f>
        <x:v>0</x:v>
      </x:c>
      <x:c r="P21" s="37" t="n">
        <x:f>COUNTIFS('Test_Record'!$A$2:$A$481,A21,'Test_Record'!$O$2:$O$481,"Yes")</x:f>
        <x:v>0</x:v>
      </x:c>
      <x:c r="Q21" s="38" t="n">
        <x:f>IFERROR(P21/C21,0)</x:f>
        <x:v>0</x:v>
      </x:c>
      <x:c r="R21" s="39" t="n">
        <x:f>SUMIFS('Test_Record'!$Q$2:$Q$481,'Test_Record'!$A$2:$A$481,A21)</x:f>
        <x:v>0</x:v>
      </x:c>
      <x:c r="S21" s="39" t="n">
        <x:f>IFERROR(AVERAGEIFS('Test_Record'!$Q$2:$Q$481,'Test_Record'!$A$2:$A$481,A21,'Test_Record'!$Q$2:$Q$481,"&gt;=0"),0)</x:f>
        <x:v>0</x:v>
      </x:c>
      <x:c r="T21" s="31"/>
    </x:row>
    <x:row r="22">
      <x:c r="A22" s="40" t="n">
        <x:v>21</x:v>
      </x:c>
      <x:c r="B22" s="37" t="str">
        <x:f>INDEX('Config'!$W$2:$W$5,MOD(A22-1,4)+1)</x:f>
        <x:v>A → B → C → D</x:v>
      </x:c>
      <x:c r="C22" s="37" t="n">
        <x:f>COUNTIFS('Test_Record'!$A$2:$A$481,A22,'Test_Record'!$F$2:$F$481,"&lt;&gt;")</x:f>
        <x:v>0</x:v>
      </x:c>
      <x:c r="D22" s="37" t="n">
        <x:f>COUNTIFS('Test_Record'!$A$2:$A$481,A22,'Test_Record'!$E$2:$E$481,"Small",'Test_Record'!$F$2:$F$481,"&lt;&gt;")</x:f>
        <x:v>0</x:v>
      </x:c>
      <x:c r="E22" s="37" t="n">
        <x:f>COUNTIFS('Test_Record'!$A$2:$A$481,A22,'Test_Record'!$E$2:$E$481,"Normal",'Test_Record'!$F$2:$F$481,"&lt;&gt;")</x:f>
        <x:v>0</x:v>
      </x:c>
      <x:c r="F22" s="37" t="n">
        <x:f>COUNTIFS('Test_Record'!$A$2:$A$481,A22,'Test_Record'!$E$2:$E$481,"Large",'Test_Record'!$F$2:$F$481,"&lt;&gt;")</x:f>
        <x:v>0</x:v>
      </x:c>
      <x:c r="G22" s="37" t="n">
        <x:f>COUNTIFS('Test_Record'!$A$2:$A$481,A22,'Test_Record'!$E$2:$E$481,"Small",'Test_Record'!$O$2:$O$481,"Yes")</x:f>
        <x:v>0</x:v>
      </x:c>
      <x:c r="H22" s="38" t="n">
        <x:f>IFERROR(G22/D22,0)</x:f>
        <x:v>0</x:v>
      </x:c>
      <x:c r="I22" s="37" t="n">
        <x:f>SUMIFS('Test_Record'!$I$2:$I$481,'Test_Record'!$A$2:$A$481,A22,'Test_Record'!$H$2:$H$481,"Pick",'Test_Record'!$E$2:$E$481,"&lt;&gt;Small")</x:f>
        <x:v>0</x:v>
      </x:c>
      <x:c r="J22" s="37" t="n">
        <x:f>COUNTIFS('Test_Record'!$A$2:$A$481,A22,'Test_Record'!$E$2:$E$481,"&lt;&gt;Small",'Test_Record'!$H$2:$H$481,"Pick",'Test_Record'!$J$2:$J$481,"Yes")</x:f>
        <x:v>0</x:v>
      </x:c>
      <x:c r="K22" s="38" t="n">
        <x:f>IFERROR(J22/COUNTIFS('Test_Record'!$A$2:$A$481,A22,'Test_Record'!$E$2:$E$481,"&lt;&gt;Small",'Test_Record'!$H$2:$H$481,"Pick"),0)</x:f>
        <x:v>0</x:v>
      </x:c>
      <x:c r="L22" s="37" t="n">
        <x:f>COUNTIFS('Test_Record'!$A$2:$A$481,A22,'Test_Record'!$E$2:$E$481,"&lt;&gt;Small",'Test_Record'!$H$2:$H$481,"Pick",'Test_Record'!$K$2:$K$481,"Yes")</x:f>
        <x:v>0</x:v>
      </x:c>
      <x:c r="M22" s="38" t="n">
        <x:f>IFERROR(L22/COUNTIFS('Test_Record'!$A$2:$A$481,A22,'Test_Record'!$E$2:$E$481,"&lt;&gt;Small",'Test_Record'!$H$2:$H$481,"Pick"),0)</x:f>
        <x:v>0</x:v>
      </x:c>
      <x:c r="N22" s="37" t="n">
        <x:f>COUNTIFS('Test_Record'!$A$2:$A$481,A22,'Test_Record'!$E$2:$E$481,"&lt;&gt;Small",'Test_Record'!$H$2:$H$481,"Pick",'Test_Record'!$N$2:$N$481,"Yes")</x:f>
        <x:v>0</x:v>
      </x:c>
      <x:c r="O22" s="38" t="n">
        <x:f>IFERROR(N22/COUNTIFS('Test_Record'!$A$2:$A$481,A22,'Test_Record'!$E$2:$E$481,"&lt;&gt;Small",'Test_Record'!$H$2:$H$481,"Pick"),0)</x:f>
        <x:v>0</x:v>
      </x:c>
      <x:c r="P22" s="37" t="n">
        <x:f>COUNTIFS('Test_Record'!$A$2:$A$481,A22,'Test_Record'!$O$2:$O$481,"Yes")</x:f>
        <x:v>0</x:v>
      </x:c>
      <x:c r="Q22" s="38" t="n">
        <x:f>IFERROR(P22/C22,0)</x:f>
        <x:v>0</x:v>
      </x:c>
      <x:c r="R22" s="39" t="n">
        <x:f>SUMIFS('Test_Record'!$Q$2:$Q$481,'Test_Record'!$A$2:$A$481,A22)</x:f>
        <x:v>0</x:v>
      </x:c>
      <x:c r="S22" s="39" t="n">
        <x:f>IFERROR(AVERAGEIFS('Test_Record'!$Q$2:$Q$481,'Test_Record'!$A$2:$A$481,A22,'Test_Record'!$Q$2:$Q$481,"&gt;=0"),0)</x:f>
        <x:v>0</x:v>
      </x:c>
      <x:c r="T22" s="31"/>
    </x:row>
    <x:row r="23">
      <x:c r="A23" s="40" t="n">
        <x:v>22</x:v>
      </x:c>
      <x:c r="B23" s="37" t="str">
        <x:f>INDEX('Config'!$W$2:$W$5,MOD(A23-1,4)+1)</x:f>
        <x:v>B → C → D → A</x:v>
      </x:c>
      <x:c r="C23" s="37" t="n">
        <x:f>COUNTIFS('Test_Record'!$A$2:$A$481,A23,'Test_Record'!$F$2:$F$481,"&lt;&gt;")</x:f>
        <x:v>0</x:v>
      </x:c>
      <x:c r="D23" s="37" t="n">
        <x:f>COUNTIFS('Test_Record'!$A$2:$A$481,A23,'Test_Record'!$E$2:$E$481,"Small",'Test_Record'!$F$2:$F$481,"&lt;&gt;")</x:f>
        <x:v>0</x:v>
      </x:c>
      <x:c r="E23" s="37" t="n">
        <x:f>COUNTIFS('Test_Record'!$A$2:$A$481,A23,'Test_Record'!$E$2:$E$481,"Normal",'Test_Record'!$F$2:$F$481,"&lt;&gt;")</x:f>
        <x:v>0</x:v>
      </x:c>
      <x:c r="F23" s="37" t="n">
        <x:f>COUNTIFS('Test_Record'!$A$2:$A$481,A23,'Test_Record'!$E$2:$E$481,"Large",'Test_Record'!$F$2:$F$481,"&lt;&gt;")</x:f>
        <x:v>0</x:v>
      </x:c>
      <x:c r="G23" s="37" t="n">
        <x:f>COUNTIFS('Test_Record'!$A$2:$A$481,A23,'Test_Record'!$E$2:$E$481,"Small",'Test_Record'!$O$2:$O$481,"Yes")</x:f>
        <x:v>0</x:v>
      </x:c>
      <x:c r="H23" s="38" t="n">
        <x:f>IFERROR(G23/D23,0)</x:f>
        <x:v>0</x:v>
      </x:c>
      <x:c r="I23" s="37" t="n">
        <x:f>SUMIFS('Test_Record'!$I$2:$I$481,'Test_Record'!$A$2:$A$481,A23,'Test_Record'!$H$2:$H$481,"Pick",'Test_Record'!$E$2:$E$481,"&lt;&gt;Small")</x:f>
        <x:v>0</x:v>
      </x:c>
      <x:c r="J23" s="37" t="n">
        <x:f>COUNTIFS('Test_Record'!$A$2:$A$481,A23,'Test_Record'!$E$2:$E$481,"&lt;&gt;Small",'Test_Record'!$H$2:$H$481,"Pick",'Test_Record'!$J$2:$J$481,"Yes")</x:f>
        <x:v>0</x:v>
      </x:c>
      <x:c r="K23" s="38" t="n">
        <x:f>IFERROR(J23/COUNTIFS('Test_Record'!$A$2:$A$481,A23,'Test_Record'!$E$2:$E$481,"&lt;&gt;Small",'Test_Record'!$H$2:$H$481,"Pick"),0)</x:f>
        <x:v>0</x:v>
      </x:c>
      <x:c r="L23" s="37" t="n">
        <x:f>COUNTIFS('Test_Record'!$A$2:$A$481,A23,'Test_Record'!$E$2:$E$481,"&lt;&gt;Small",'Test_Record'!$H$2:$H$481,"Pick",'Test_Record'!$K$2:$K$481,"Yes")</x:f>
        <x:v>0</x:v>
      </x:c>
      <x:c r="M23" s="38" t="n">
        <x:f>IFERROR(L23/COUNTIFS('Test_Record'!$A$2:$A$481,A23,'Test_Record'!$E$2:$E$481,"&lt;&gt;Small",'Test_Record'!$H$2:$H$481,"Pick"),0)</x:f>
        <x:v>0</x:v>
      </x:c>
      <x:c r="N23" s="37" t="n">
        <x:f>COUNTIFS('Test_Record'!$A$2:$A$481,A23,'Test_Record'!$E$2:$E$481,"&lt;&gt;Small",'Test_Record'!$H$2:$H$481,"Pick",'Test_Record'!$N$2:$N$481,"Yes")</x:f>
        <x:v>0</x:v>
      </x:c>
      <x:c r="O23" s="38" t="n">
        <x:f>IFERROR(N23/COUNTIFS('Test_Record'!$A$2:$A$481,A23,'Test_Record'!$E$2:$E$481,"&lt;&gt;Small",'Test_Record'!$H$2:$H$481,"Pick"),0)</x:f>
        <x:v>0</x:v>
      </x:c>
      <x:c r="P23" s="37" t="n">
        <x:f>COUNTIFS('Test_Record'!$A$2:$A$481,A23,'Test_Record'!$O$2:$O$481,"Yes")</x:f>
        <x:v>0</x:v>
      </x:c>
      <x:c r="Q23" s="38" t="n">
        <x:f>IFERROR(P23/C23,0)</x:f>
        <x:v>0</x:v>
      </x:c>
      <x:c r="R23" s="39" t="n">
        <x:f>SUMIFS('Test_Record'!$Q$2:$Q$481,'Test_Record'!$A$2:$A$481,A23)</x:f>
        <x:v>0</x:v>
      </x:c>
      <x:c r="S23" s="39" t="n">
        <x:f>IFERROR(AVERAGEIFS('Test_Record'!$Q$2:$Q$481,'Test_Record'!$A$2:$A$481,A23,'Test_Record'!$Q$2:$Q$481,"&gt;=0"),0)</x:f>
        <x:v>0</x:v>
      </x:c>
      <x:c r="T23" s="31"/>
    </x:row>
    <x:row r="24">
      <x:c r="A24" s="40" t="n">
        <x:v>23</x:v>
      </x:c>
      <x:c r="B24" s="37" t="str">
        <x:f>INDEX('Config'!$W$2:$W$5,MOD(A24-1,4)+1)</x:f>
        <x:v>C → D → A → B</x:v>
      </x:c>
      <x:c r="C24" s="37" t="n">
        <x:f>COUNTIFS('Test_Record'!$A$2:$A$481,A24,'Test_Record'!$F$2:$F$481,"&lt;&gt;")</x:f>
        <x:v>0</x:v>
      </x:c>
      <x:c r="D24" s="37" t="n">
        <x:f>COUNTIFS('Test_Record'!$A$2:$A$481,A24,'Test_Record'!$E$2:$E$481,"Small",'Test_Record'!$F$2:$F$481,"&lt;&gt;")</x:f>
        <x:v>0</x:v>
      </x:c>
      <x:c r="E24" s="37" t="n">
        <x:f>COUNTIFS('Test_Record'!$A$2:$A$481,A24,'Test_Record'!$E$2:$E$481,"Normal",'Test_Record'!$F$2:$F$481,"&lt;&gt;")</x:f>
        <x:v>0</x:v>
      </x:c>
      <x:c r="F24" s="37" t="n">
        <x:f>COUNTIFS('Test_Record'!$A$2:$A$481,A24,'Test_Record'!$E$2:$E$481,"Large",'Test_Record'!$F$2:$F$481,"&lt;&gt;")</x:f>
        <x:v>0</x:v>
      </x:c>
      <x:c r="G24" s="37" t="n">
        <x:f>COUNTIFS('Test_Record'!$A$2:$A$481,A24,'Test_Record'!$E$2:$E$481,"Small",'Test_Record'!$O$2:$O$481,"Yes")</x:f>
        <x:v>0</x:v>
      </x:c>
      <x:c r="H24" s="38" t="n">
        <x:f>IFERROR(G24/D24,0)</x:f>
        <x:v>0</x:v>
      </x:c>
      <x:c r="I24" s="37" t="n">
        <x:f>SUMIFS('Test_Record'!$I$2:$I$481,'Test_Record'!$A$2:$A$481,A24,'Test_Record'!$H$2:$H$481,"Pick",'Test_Record'!$E$2:$E$481,"&lt;&gt;Small")</x:f>
        <x:v>0</x:v>
      </x:c>
      <x:c r="J24" s="37" t="n">
        <x:f>COUNTIFS('Test_Record'!$A$2:$A$481,A24,'Test_Record'!$E$2:$E$481,"&lt;&gt;Small",'Test_Record'!$H$2:$H$481,"Pick",'Test_Record'!$J$2:$J$481,"Yes")</x:f>
        <x:v>0</x:v>
      </x:c>
      <x:c r="K24" s="38" t="n">
        <x:f>IFERROR(J24/COUNTIFS('Test_Record'!$A$2:$A$481,A24,'Test_Record'!$E$2:$E$481,"&lt;&gt;Small",'Test_Record'!$H$2:$H$481,"Pick"),0)</x:f>
        <x:v>0</x:v>
      </x:c>
      <x:c r="L24" s="37" t="n">
        <x:f>COUNTIFS('Test_Record'!$A$2:$A$481,A24,'Test_Record'!$E$2:$E$481,"&lt;&gt;Small",'Test_Record'!$H$2:$H$481,"Pick",'Test_Record'!$K$2:$K$481,"Yes")</x:f>
        <x:v>0</x:v>
      </x:c>
      <x:c r="M24" s="38" t="n">
        <x:f>IFERROR(L24/COUNTIFS('Test_Record'!$A$2:$A$481,A24,'Test_Record'!$E$2:$E$481,"&lt;&gt;Small",'Test_Record'!$H$2:$H$481,"Pick"),0)</x:f>
        <x:v>0</x:v>
      </x:c>
      <x:c r="N24" s="37" t="n">
        <x:f>COUNTIFS('Test_Record'!$A$2:$A$481,A24,'Test_Record'!$E$2:$E$481,"&lt;&gt;Small",'Test_Record'!$H$2:$H$481,"Pick",'Test_Record'!$N$2:$N$481,"Yes")</x:f>
        <x:v>0</x:v>
      </x:c>
      <x:c r="O24" s="38" t="n">
        <x:f>IFERROR(N24/COUNTIFS('Test_Record'!$A$2:$A$481,A24,'Test_Record'!$E$2:$E$481,"&lt;&gt;Small",'Test_Record'!$H$2:$H$481,"Pick"),0)</x:f>
        <x:v>0</x:v>
      </x:c>
      <x:c r="P24" s="37" t="n">
        <x:f>COUNTIFS('Test_Record'!$A$2:$A$481,A24,'Test_Record'!$O$2:$O$481,"Yes")</x:f>
        <x:v>0</x:v>
      </x:c>
      <x:c r="Q24" s="38" t="n">
        <x:f>IFERROR(P24/C24,0)</x:f>
        <x:v>0</x:v>
      </x:c>
      <x:c r="R24" s="39" t="n">
        <x:f>SUMIFS('Test_Record'!$Q$2:$Q$481,'Test_Record'!$A$2:$A$481,A24)</x:f>
        <x:v>0</x:v>
      </x:c>
      <x:c r="S24" s="39" t="n">
        <x:f>IFERROR(AVERAGEIFS('Test_Record'!$Q$2:$Q$481,'Test_Record'!$A$2:$A$481,A24,'Test_Record'!$Q$2:$Q$481,"&gt;=0"),0)</x:f>
        <x:v>0</x:v>
      </x:c>
      <x:c r="T24" s="31"/>
    </x:row>
    <x:row r="25">
      <x:c r="A25" s="40" t="n">
        <x:v>24</x:v>
      </x:c>
      <x:c r="B25" s="37" t="str">
        <x:f>INDEX('Config'!$W$2:$W$5,MOD(A25-1,4)+1)</x:f>
        <x:v>D → A → B → C</x:v>
      </x:c>
      <x:c r="C25" s="37" t="n">
        <x:f>COUNTIFS('Test_Record'!$A$2:$A$481,A25,'Test_Record'!$F$2:$F$481,"&lt;&gt;")</x:f>
        <x:v>0</x:v>
      </x:c>
      <x:c r="D25" s="37" t="n">
        <x:f>COUNTIFS('Test_Record'!$A$2:$A$481,A25,'Test_Record'!$E$2:$E$481,"Small",'Test_Record'!$F$2:$F$481,"&lt;&gt;")</x:f>
        <x:v>0</x:v>
      </x:c>
      <x:c r="E25" s="37" t="n">
        <x:f>COUNTIFS('Test_Record'!$A$2:$A$481,A25,'Test_Record'!$E$2:$E$481,"Normal",'Test_Record'!$F$2:$F$481,"&lt;&gt;")</x:f>
        <x:v>0</x:v>
      </x:c>
      <x:c r="F25" s="37" t="n">
        <x:f>COUNTIFS('Test_Record'!$A$2:$A$481,A25,'Test_Record'!$E$2:$E$481,"Large",'Test_Record'!$F$2:$F$481,"&lt;&gt;")</x:f>
        <x:v>0</x:v>
      </x:c>
      <x:c r="G25" s="37" t="n">
        <x:f>COUNTIFS('Test_Record'!$A$2:$A$481,A25,'Test_Record'!$E$2:$E$481,"Small",'Test_Record'!$O$2:$O$481,"Yes")</x:f>
        <x:v>0</x:v>
      </x:c>
      <x:c r="H25" s="38" t="n">
        <x:f>IFERROR(G25/D25,0)</x:f>
        <x:v>0</x:v>
      </x:c>
      <x:c r="I25" s="37" t="n">
        <x:f>SUMIFS('Test_Record'!$I$2:$I$481,'Test_Record'!$A$2:$A$481,A25,'Test_Record'!$H$2:$H$481,"Pick",'Test_Record'!$E$2:$E$481,"&lt;&gt;Small")</x:f>
        <x:v>0</x:v>
      </x:c>
      <x:c r="J25" s="37" t="n">
        <x:f>COUNTIFS('Test_Record'!$A$2:$A$481,A25,'Test_Record'!$E$2:$E$481,"&lt;&gt;Small",'Test_Record'!$H$2:$H$481,"Pick",'Test_Record'!$J$2:$J$481,"Yes")</x:f>
        <x:v>0</x:v>
      </x:c>
      <x:c r="K25" s="38" t="n">
        <x:f>IFERROR(J25/COUNTIFS('Test_Record'!$A$2:$A$481,A25,'Test_Record'!$E$2:$E$481,"&lt;&gt;Small",'Test_Record'!$H$2:$H$481,"Pick"),0)</x:f>
        <x:v>0</x:v>
      </x:c>
      <x:c r="L25" s="37" t="n">
        <x:f>COUNTIFS('Test_Record'!$A$2:$A$481,A25,'Test_Record'!$E$2:$E$481,"&lt;&gt;Small",'Test_Record'!$H$2:$H$481,"Pick",'Test_Record'!$K$2:$K$481,"Yes")</x:f>
        <x:v>0</x:v>
      </x:c>
      <x:c r="M25" s="38" t="n">
        <x:f>IFERROR(L25/COUNTIFS('Test_Record'!$A$2:$A$481,A25,'Test_Record'!$E$2:$E$481,"&lt;&gt;Small",'Test_Record'!$H$2:$H$481,"Pick"),0)</x:f>
        <x:v>0</x:v>
      </x:c>
      <x:c r="N25" s="37" t="n">
        <x:f>COUNTIFS('Test_Record'!$A$2:$A$481,A25,'Test_Record'!$E$2:$E$481,"&lt;&gt;Small",'Test_Record'!$H$2:$H$481,"Pick",'Test_Record'!$N$2:$N$481,"Yes")</x:f>
        <x:v>0</x:v>
      </x:c>
      <x:c r="O25" s="38" t="n">
        <x:f>IFERROR(N25/COUNTIFS('Test_Record'!$A$2:$A$481,A25,'Test_Record'!$E$2:$E$481,"&lt;&gt;Small",'Test_Record'!$H$2:$H$481,"Pick"),0)</x:f>
        <x:v>0</x:v>
      </x:c>
      <x:c r="P25" s="37" t="n">
        <x:f>COUNTIFS('Test_Record'!$A$2:$A$481,A25,'Test_Record'!$O$2:$O$481,"Yes")</x:f>
        <x:v>0</x:v>
      </x:c>
      <x:c r="Q25" s="38" t="n">
        <x:f>IFERROR(P25/C25,0)</x:f>
        <x:v>0</x:v>
      </x:c>
      <x:c r="R25" s="39" t="n">
        <x:f>SUMIFS('Test_Record'!$Q$2:$Q$481,'Test_Record'!$A$2:$A$481,A25)</x:f>
        <x:v>0</x:v>
      </x:c>
      <x:c r="S25" s="39" t="n">
        <x:f>IFERROR(AVERAGEIFS('Test_Record'!$Q$2:$Q$481,'Test_Record'!$A$2:$A$481,A25,'Test_Record'!$Q$2:$Q$481,"&gt;=0"),0)</x:f>
        <x:v>0</x:v>
      </x:c>
      <x:c r="T25" s="31"/>
    </x:row>
    <x:row r="26">
      <x:c r="A26" s="40" t="n">
        <x:v>25</x:v>
      </x:c>
      <x:c r="B26" s="37" t="str">
        <x:f>INDEX('Config'!$W$2:$W$5,MOD(A26-1,4)+1)</x:f>
        <x:v>A → B → C → D</x:v>
      </x:c>
      <x:c r="C26" s="37" t="n">
        <x:f>COUNTIFS('Test_Record'!$A$2:$A$481,A26,'Test_Record'!$F$2:$F$481,"&lt;&gt;")</x:f>
        <x:v>0</x:v>
      </x:c>
      <x:c r="D26" s="37" t="n">
        <x:f>COUNTIFS('Test_Record'!$A$2:$A$481,A26,'Test_Record'!$E$2:$E$481,"Small",'Test_Record'!$F$2:$F$481,"&lt;&gt;")</x:f>
        <x:v>0</x:v>
      </x:c>
      <x:c r="E26" s="37" t="n">
        <x:f>COUNTIFS('Test_Record'!$A$2:$A$481,A26,'Test_Record'!$E$2:$E$481,"Normal",'Test_Record'!$F$2:$F$481,"&lt;&gt;")</x:f>
        <x:v>0</x:v>
      </x:c>
      <x:c r="F26" s="37" t="n">
        <x:f>COUNTIFS('Test_Record'!$A$2:$A$481,A26,'Test_Record'!$E$2:$E$481,"Large",'Test_Record'!$F$2:$F$481,"&lt;&gt;")</x:f>
        <x:v>0</x:v>
      </x:c>
      <x:c r="G26" s="37" t="n">
        <x:f>COUNTIFS('Test_Record'!$A$2:$A$481,A26,'Test_Record'!$E$2:$E$481,"Small",'Test_Record'!$O$2:$O$481,"Yes")</x:f>
        <x:v>0</x:v>
      </x:c>
      <x:c r="H26" s="38" t="n">
        <x:f>IFERROR(G26/D26,0)</x:f>
        <x:v>0</x:v>
      </x:c>
      <x:c r="I26" s="37" t="n">
        <x:f>SUMIFS('Test_Record'!$I$2:$I$481,'Test_Record'!$A$2:$A$481,A26,'Test_Record'!$H$2:$H$481,"Pick",'Test_Record'!$E$2:$E$481,"&lt;&gt;Small")</x:f>
        <x:v>0</x:v>
      </x:c>
      <x:c r="J26" s="37" t="n">
        <x:f>COUNTIFS('Test_Record'!$A$2:$A$481,A26,'Test_Record'!$E$2:$E$481,"&lt;&gt;Small",'Test_Record'!$H$2:$H$481,"Pick",'Test_Record'!$J$2:$J$481,"Yes")</x:f>
        <x:v>0</x:v>
      </x:c>
      <x:c r="K26" s="38" t="n">
        <x:f>IFERROR(J26/COUNTIFS('Test_Record'!$A$2:$A$481,A26,'Test_Record'!$E$2:$E$481,"&lt;&gt;Small",'Test_Record'!$H$2:$H$481,"Pick"),0)</x:f>
        <x:v>0</x:v>
      </x:c>
      <x:c r="L26" s="37" t="n">
        <x:f>COUNTIFS('Test_Record'!$A$2:$A$481,A26,'Test_Record'!$E$2:$E$481,"&lt;&gt;Small",'Test_Record'!$H$2:$H$481,"Pick",'Test_Record'!$K$2:$K$481,"Yes")</x:f>
        <x:v>0</x:v>
      </x:c>
      <x:c r="M26" s="38" t="n">
        <x:f>IFERROR(L26/COUNTIFS('Test_Record'!$A$2:$A$481,A26,'Test_Record'!$E$2:$E$481,"&lt;&gt;Small",'Test_Record'!$H$2:$H$481,"Pick"),0)</x:f>
        <x:v>0</x:v>
      </x:c>
      <x:c r="N26" s="37" t="n">
        <x:f>COUNTIFS('Test_Record'!$A$2:$A$481,A26,'Test_Record'!$E$2:$E$481,"&lt;&gt;Small",'Test_Record'!$H$2:$H$481,"Pick",'Test_Record'!$N$2:$N$481,"Yes")</x:f>
        <x:v>0</x:v>
      </x:c>
      <x:c r="O26" s="38" t="n">
        <x:f>IFERROR(N26/COUNTIFS('Test_Record'!$A$2:$A$481,A26,'Test_Record'!$E$2:$E$481,"&lt;&gt;Small",'Test_Record'!$H$2:$H$481,"Pick"),0)</x:f>
        <x:v>0</x:v>
      </x:c>
      <x:c r="P26" s="37" t="n">
        <x:f>COUNTIFS('Test_Record'!$A$2:$A$481,A26,'Test_Record'!$O$2:$O$481,"Yes")</x:f>
        <x:v>0</x:v>
      </x:c>
      <x:c r="Q26" s="38" t="n">
        <x:f>IFERROR(P26/C26,0)</x:f>
        <x:v>0</x:v>
      </x:c>
      <x:c r="R26" s="39" t="n">
        <x:f>SUMIFS('Test_Record'!$Q$2:$Q$481,'Test_Record'!$A$2:$A$481,A26)</x:f>
        <x:v>0</x:v>
      </x:c>
      <x:c r="S26" s="39" t="n">
        <x:f>IFERROR(AVERAGEIFS('Test_Record'!$Q$2:$Q$481,'Test_Record'!$A$2:$A$481,A26,'Test_Record'!$Q$2:$Q$481,"&gt;=0"),0)</x:f>
        <x:v>0</x:v>
      </x:c>
      <x:c r="T26" s="31"/>
    </x:row>
    <x:row r="27">
      <x:c r="A27" s="40" t="n">
        <x:v>26</x:v>
      </x:c>
      <x:c r="B27" s="37" t="str">
        <x:f>INDEX('Config'!$W$2:$W$5,MOD(A27-1,4)+1)</x:f>
        <x:v>B → C → D → A</x:v>
      </x:c>
      <x:c r="C27" s="37" t="n">
        <x:f>COUNTIFS('Test_Record'!$A$2:$A$481,A27,'Test_Record'!$F$2:$F$481,"&lt;&gt;")</x:f>
        <x:v>0</x:v>
      </x:c>
      <x:c r="D27" s="37" t="n">
        <x:f>COUNTIFS('Test_Record'!$A$2:$A$481,A27,'Test_Record'!$E$2:$E$481,"Small",'Test_Record'!$F$2:$F$481,"&lt;&gt;")</x:f>
        <x:v>0</x:v>
      </x:c>
      <x:c r="E27" s="37" t="n">
        <x:f>COUNTIFS('Test_Record'!$A$2:$A$481,A27,'Test_Record'!$E$2:$E$481,"Normal",'Test_Record'!$F$2:$F$481,"&lt;&gt;")</x:f>
        <x:v>0</x:v>
      </x:c>
      <x:c r="F27" s="37" t="n">
        <x:f>COUNTIFS('Test_Record'!$A$2:$A$481,A27,'Test_Record'!$E$2:$E$481,"Large",'Test_Record'!$F$2:$F$481,"&lt;&gt;")</x:f>
        <x:v>0</x:v>
      </x:c>
      <x:c r="G27" s="37" t="n">
        <x:f>COUNTIFS('Test_Record'!$A$2:$A$481,A27,'Test_Record'!$E$2:$E$481,"Small",'Test_Record'!$O$2:$O$481,"Yes")</x:f>
        <x:v>0</x:v>
      </x:c>
      <x:c r="H27" s="38" t="n">
        <x:f>IFERROR(G27/D27,0)</x:f>
        <x:v>0</x:v>
      </x:c>
      <x:c r="I27" s="37" t="n">
        <x:f>SUMIFS('Test_Record'!$I$2:$I$481,'Test_Record'!$A$2:$A$481,A27,'Test_Record'!$H$2:$H$481,"Pick",'Test_Record'!$E$2:$E$481,"&lt;&gt;Small")</x:f>
        <x:v>0</x:v>
      </x:c>
      <x:c r="J27" s="37" t="n">
        <x:f>COUNTIFS('Test_Record'!$A$2:$A$481,A27,'Test_Record'!$E$2:$E$481,"&lt;&gt;Small",'Test_Record'!$H$2:$H$481,"Pick",'Test_Record'!$J$2:$J$481,"Yes")</x:f>
        <x:v>0</x:v>
      </x:c>
      <x:c r="K27" s="38" t="n">
        <x:f>IFERROR(J27/COUNTIFS('Test_Record'!$A$2:$A$481,A27,'Test_Record'!$E$2:$E$481,"&lt;&gt;Small",'Test_Record'!$H$2:$H$481,"Pick"),0)</x:f>
        <x:v>0</x:v>
      </x:c>
      <x:c r="L27" s="37" t="n">
        <x:f>COUNTIFS('Test_Record'!$A$2:$A$481,A27,'Test_Record'!$E$2:$E$481,"&lt;&gt;Small",'Test_Record'!$H$2:$H$481,"Pick",'Test_Record'!$K$2:$K$481,"Yes")</x:f>
        <x:v>0</x:v>
      </x:c>
      <x:c r="M27" s="38" t="n">
        <x:f>IFERROR(L27/COUNTIFS('Test_Record'!$A$2:$A$481,A27,'Test_Record'!$E$2:$E$481,"&lt;&gt;Small",'Test_Record'!$H$2:$H$481,"Pick"),0)</x:f>
        <x:v>0</x:v>
      </x:c>
      <x:c r="N27" s="37" t="n">
        <x:f>COUNTIFS('Test_Record'!$A$2:$A$481,A27,'Test_Record'!$E$2:$E$481,"&lt;&gt;Small",'Test_Record'!$H$2:$H$481,"Pick",'Test_Record'!$N$2:$N$481,"Yes")</x:f>
        <x:v>0</x:v>
      </x:c>
      <x:c r="O27" s="38" t="n">
        <x:f>IFERROR(N27/COUNTIFS('Test_Record'!$A$2:$A$481,A27,'Test_Record'!$E$2:$E$481,"&lt;&gt;Small",'Test_Record'!$H$2:$H$481,"Pick"),0)</x:f>
        <x:v>0</x:v>
      </x:c>
      <x:c r="P27" s="37" t="n">
        <x:f>COUNTIFS('Test_Record'!$A$2:$A$481,A27,'Test_Record'!$O$2:$O$481,"Yes")</x:f>
        <x:v>0</x:v>
      </x:c>
      <x:c r="Q27" s="38" t="n">
        <x:f>IFERROR(P27/C27,0)</x:f>
        <x:v>0</x:v>
      </x:c>
      <x:c r="R27" s="39" t="n">
        <x:f>SUMIFS('Test_Record'!$Q$2:$Q$481,'Test_Record'!$A$2:$A$481,A27)</x:f>
        <x:v>0</x:v>
      </x:c>
      <x:c r="S27" s="39" t="n">
        <x:f>IFERROR(AVERAGEIFS('Test_Record'!$Q$2:$Q$481,'Test_Record'!$A$2:$A$481,A27,'Test_Record'!$Q$2:$Q$481,"&gt;=0"),0)</x:f>
        <x:v>0</x:v>
      </x:c>
      <x:c r="T27" s="31"/>
    </x:row>
    <x:row r="28">
      <x:c r="A28" s="40" t="n">
        <x:v>27</x:v>
      </x:c>
      <x:c r="B28" s="37" t="str">
        <x:f>INDEX('Config'!$W$2:$W$5,MOD(A28-1,4)+1)</x:f>
        <x:v>C → D → A → B</x:v>
      </x:c>
      <x:c r="C28" s="37" t="n">
        <x:f>COUNTIFS('Test_Record'!$A$2:$A$481,A28,'Test_Record'!$F$2:$F$481,"&lt;&gt;")</x:f>
        <x:v>0</x:v>
      </x:c>
      <x:c r="D28" s="37" t="n">
        <x:f>COUNTIFS('Test_Record'!$A$2:$A$481,A28,'Test_Record'!$E$2:$E$481,"Small",'Test_Record'!$F$2:$F$481,"&lt;&gt;")</x:f>
        <x:v>0</x:v>
      </x:c>
      <x:c r="E28" s="37" t="n">
        <x:f>COUNTIFS('Test_Record'!$A$2:$A$481,A28,'Test_Record'!$E$2:$E$481,"Normal",'Test_Record'!$F$2:$F$481,"&lt;&gt;")</x:f>
        <x:v>0</x:v>
      </x:c>
      <x:c r="F28" s="37" t="n">
        <x:f>COUNTIFS('Test_Record'!$A$2:$A$481,A28,'Test_Record'!$E$2:$E$481,"Large",'Test_Record'!$F$2:$F$481,"&lt;&gt;")</x:f>
        <x:v>0</x:v>
      </x:c>
      <x:c r="G28" s="37" t="n">
        <x:f>COUNTIFS('Test_Record'!$A$2:$A$481,A28,'Test_Record'!$E$2:$E$481,"Small",'Test_Record'!$O$2:$O$481,"Yes")</x:f>
        <x:v>0</x:v>
      </x:c>
      <x:c r="H28" s="38" t="n">
        <x:f>IFERROR(G28/D28,0)</x:f>
        <x:v>0</x:v>
      </x:c>
      <x:c r="I28" s="37" t="n">
        <x:f>SUMIFS('Test_Record'!$I$2:$I$481,'Test_Record'!$A$2:$A$481,A28,'Test_Record'!$H$2:$H$481,"Pick",'Test_Record'!$E$2:$E$481,"&lt;&gt;Small")</x:f>
        <x:v>0</x:v>
      </x:c>
      <x:c r="J28" s="37" t="n">
        <x:f>COUNTIFS('Test_Record'!$A$2:$A$481,A28,'Test_Record'!$E$2:$E$481,"&lt;&gt;Small",'Test_Record'!$H$2:$H$481,"Pick",'Test_Record'!$J$2:$J$481,"Yes")</x:f>
        <x:v>0</x:v>
      </x:c>
      <x:c r="K28" s="38" t="n">
        <x:f>IFERROR(J28/COUNTIFS('Test_Record'!$A$2:$A$481,A28,'Test_Record'!$E$2:$E$481,"&lt;&gt;Small",'Test_Record'!$H$2:$H$481,"Pick"),0)</x:f>
        <x:v>0</x:v>
      </x:c>
      <x:c r="L28" s="37" t="n">
        <x:f>COUNTIFS('Test_Record'!$A$2:$A$481,A28,'Test_Record'!$E$2:$E$481,"&lt;&gt;Small",'Test_Record'!$H$2:$H$481,"Pick",'Test_Record'!$K$2:$K$481,"Yes")</x:f>
        <x:v>0</x:v>
      </x:c>
      <x:c r="M28" s="38" t="n">
        <x:f>IFERROR(L28/COUNTIFS('Test_Record'!$A$2:$A$481,A28,'Test_Record'!$E$2:$E$481,"&lt;&gt;Small",'Test_Record'!$H$2:$H$481,"Pick"),0)</x:f>
        <x:v>0</x:v>
      </x:c>
      <x:c r="N28" s="37" t="n">
        <x:f>COUNTIFS('Test_Record'!$A$2:$A$481,A28,'Test_Record'!$E$2:$E$481,"&lt;&gt;Small",'Test_Record'!$H$2:$H$481,"Pick",'Test_Record'!$N$2:$N$481,"Yes")</x:f>
        <x:v>0</x:v>
      </x:c>
      <x:c r="O28" s="38" t="n">
        <x:f>IFERROR(N28/COUNTIFS('Test_Record'!$A$2:$A$481,A28,'Test_Record'!$E$2:$E$481,"&lt;&gt;Small",'Test_Record'!$H$2:$H$481,"Pick"),0)</x:f>
        <x:v>0</x:v>
      </x:c>
      <x:c r="P28" s="37" t="n">
        <x:f>COUNTIFS('Test_Record'!$A$2:$A$481,A28,'Test_Record'!$O$2:$O$481,"Yes")</x:f>
        <x:v>0</x:v>
      </x:c>
      <x:c r="Q28" s="38" t="n">
        <x:f>IFERROR(P28/C28,0)</x:f>
        <x:v>0</x:v>
      </x:c>
      <x:c r="R28" s="39" t="n">
        <x:f>SUMIFS('Test_Record'!$Q$2:$Q$481,'Test_Record'!$A$2:$A$481,A28)</x:f>
        <x:v>0</x:v>
      </x:c>
      <x:c r="S28" s="39" t="n">
        <x:f>IFERROR(AVERAGEIFS('Test_Record'!$Q$2:$Q$481,'Test_Record'!$A$2:$A$481,A28,'Test_Record'!$Q$2:$Q$481,"&gt;=0"),0)</x:f>
        <x:v>0</x:v>
      </x:c>
      <x:c r="T28" s="31"/>
    </x:row>
    <x:row r="29">
      <x:c r="A29" s="40" t="n">
        <x:v>28</x:v>
      </x:c>
      <x:c r="B29" s="37" t="str">
        <x:f>INDEX('Config'!$W$2:$W$5,MOD(A29-1,4)+1)</x:f>
        <x:v>D → A → B → C</x:v>
      </x:c>
      <x:c r="C29" s="37" t="n">
        <x:f>COUNTIFS('Test_Record'!$A$2:$A$481,A29,'Test_Record'!$F$2:$F$481,"&lt;&gt;")</x:f>
        <x:v>0</x:v>
      </x:c>
      <x:c r="D29" s="37" t="n">
        <x:f>COUNTIFS('Test_Record'!$A$2:$A$481,A29,'Test_Record'!$E$2:$E$481,"Small",'Test_Record'!$F$2:$F$481,"&lt;&gt;")</x:f>
        <x:v>0</x:v>
      </x:c>
      <x:c r="E29" s="37" t="n">
        <x:f>COUNTIFS('Test_Record'!$A$2:$A$481,A29,'Test_Record'!$E$2:$E$481,"Normal",'Test_Record'!$F$2:$F$481,"&lt;&gt;")</x:f>
        <x:v>0</x:v>
      </x:c>
      <x:c r="F29" s="37" t="n">
        <x:f>COUNTIFS('Test_Record'!$A$2:$A$481,A29,'Test_Record'!$E$2:$E$481,"Large",'Test_Record'!$F$2:$F$481,"&lt;&gt;")</x:f>
        <x:v>0</x:v>
      </x:c>
      <x:c r="G29" s="37" t="n">
        <x:f>COUNTIFS('Test_Record'!$A$2:$A$481,A29,'Test_Record'!$E$2:$E$481,"Small",'Test_Record'!$O$2:$O$481,"Yes")</x:f>
        <x:v>0</x:v>
      </x:c>
      <x:c r="H29" s="38" t="n">
        <x:f>IFERROR(G29/D29,0)</x:f>
        <x:v>0</x:v>
      </x:c>
      <x:c r="I29" s="37" t="n">
        <x:f>SUMIFS('Test_Record'!$I$2:$I$481,'Test_Record'!$A$2:$A$481,A29,'Test_Record'!$H$2:$H$481,"Pick",'Test_Record'!$E$2:$E$481,"&lt;&gt;Small")</x:f>
        <x:v>0</x:v>
      </x:c>
      <x:c r="J29" s="37" t="n">
        <x:f>COUNTIFS('Test_Record'!$A$2:$A$481,A29,'Test_Record'!$E$2:$E$481,"&lt;&gt;Small",'Test_Record'!$H$2:$H$481,"Pick",'Test_Record'!$J$2:$J$481,"Yes")</x:f>
        <x:v>0</x:v>
      </x:c>
      <x:c r="K29" s="38" t="n">
        <x:f>IFERROR(J29/COUNTIFS('Test_Record'!$A$2:$A$481,A29,'Test_Record'!$E$2:$E$481,"&lt;&gt;Small",'Test_Record'!$H$2:$H$481,"Pick"),0)</x:f>
        <x:v>0</x:v>
      </x:c>
      <x:c r="L29" s="37" t="n">
        <x:f>COUNTIFS('Test_Record'!$A$2:$A$481,A29,'Test_Record'!$E$2:$E$481,"&lt;&gt;Small",'Test_Record'!$H$2:$H$481,"Pick",'Test_Record'!$K$2:$K$481,"Yes")</x:f>
        <x:v>0</x:v>
      </x:c>
      <x:c r="M29" s="38" t="n">
        <x:f>IFERROR(L29/COUNTIFS('Test_Record'!$A$2:$A$481,A29,'Test_Record'!$E$2:$E$481,"&lt;&gt;Small",'Test_Record'!$H$2:$H$481,"Pick"),0)</x:f>
        <x:v>0</x:v>
      </x:c>
      <x:c r="N29" s="37" t="n">
        <x:f>COUNTIFS('Test_Record'!$A$2:$A$481,A29,'Test_Record'!$E$2:$E$481,"&lt;&gt;Small",'Test_Record'!$H$2:$H$481,"Pick",'Test_Record'!$N$2:$N$481,"Yes")</x:f>
        <x:v>0</x:v>
      </x:c>
      <x:c r="O29" s="38" t="n">
        <x:f>IFERROR(N29/COUNTIFS('Test_Record'!$A$2:$A$481,A29,'Test_Record'!$E$2:$E$481,"&lt;&gt;Small",'Test_Record'!$H$2:$H$481,"Pick"),0)</x:f>
        <x:v>0</x:v>
      </x:c>
      <x:c r="P29" s="37" t="n">
        <x:f>COUNTIFS('Test_Record'!$A$2:$A$481,A29,'Test_Record'!$O$2:$O$481,"Yes")</x:f>
        <x:v>0</x:v>
      </x:c>
      <x:c r="Q29" s="38" t="n">
        <x:f>IFERROR(P29/C29,0)</x:f>
        <x:v>0</x:v>
      </x:c>
      <x:c r="R29" s="39" t="n">
        <x:f>SUMIFS('Test_Record'!$Q$2:$Q$481,'Test_Record'!$A$2:$A$481,A29)</x:f>
        <x:v>0</x:v>
      </x:c>
      <x:c r="S29" s="39" t="n">
        <x:f>IFERROR(AVERAGEIFS('Test_Record'!$Q$2:$Q$481,'Test_Record'!$A$2:$A$481,A29,'Test_Record'!$Q$2:$Q$481,"&gt;=0"),0)</x:f>
        <x:v>0</x:v>
      </x:c>
      <x:c r="T29" s="31"/>
    </x:row>
    <x:row r="30">
      <x:c r="A30" s="40" t="n">
        <x:v>29</x:v>
      </x:c>
      <x:c r="B30" s="37" t="str">
        <x:f>INDEX('Config'!$W$2:$W$5,MOD(A30-1,4)+1)</x:f>
        <x:v>A → B → C → D</x:v>
      </x:c>
      <x:c r="C30" s="37" t="n">
        <x:f>COUNTIFS('Test_Record'!$A$2:$A$481,A30,'Test_Record'!$F$2:$F$481,"&lt;&gt;")</x:f>
        <x:v>0</x:v>
      </x:c>
      <x:c r="D30" s="37" t="n">
        <x:f>COUNTIFS('Test_Record'!$A$2:$A$481,A30,'Test_Record'!$E$2:$E$481,"Small",'Test_Record'!$F$2:$F$481,"&lt;&gt;")</x:f>
        <x:v>0</x:v>
      </x:c>
      <x:c r="E30" s="37" t="n">
        <x:f>COUNTIFS('Test_Record'!$A$2:$A$481,A30,'Test_Record'!$E$2:$E$481,"Normal",'Test_Record'!$F$2:$F$481,"&lt;&gt;")</x:f>
        <x:v>0</x:v>
      </x:c>
      <x:c r="F30" s="37" t="n">
        <x:f>COUNTIFS('Test_Record'!$A$2:$A$481,A30,'Test_Record'!$E$2:$E$481,"Large",'Test_Record'!$F$2:$F$481,"&lt;&gt;")</x:f>
        <x:v>0</x:v>
      </x:c>
      <x:c r="G30" s="37" t="n">
        <x:f>COUNTIFS('Test_Record'!$A$2:$A$481,A30,'Test_Record'!$E$2:$E$481,"Small",'Test_Record'!$O$2:$O$481,"Yes")</x:f>
        <x:v>0</x:v>
      </x:c>
      <x:c r="H30" s="38" t="n">
        <x:f>IFERROR(G30/D30,0)</x:f>
        <x:v>0</x:v>
      </x:c>
      <x:c r="I30" s="37" t="n">
        <x:f>SUMIFS('Test_Record'!$I$2:$I$481,'Test_Record'!$A$2:$A$481,A30,'Test_Record'!$H$2:$H$481,"Pick",'Test_Record'!$E$2:$E$481,"&lt;&gt;Small")</x:f>
        <x:v>0</x:v>
      </x:c>
      <x:c r="J30" s="37" t="n">
        <x:f>COUNTIFS('Test_Record'!$A$2:$A$481,A30,'Test_Record'!$E$2:$E$481,"&lt;&gt;Small",'Test_Record'!$H$2:$H$481,"Pick",'Test_Record'!$J$2:$J$481,"Yes")</x:f>
        <x:v>0</x:v>
      </x:c>
      <x:c r="K30" s="38" t="n">
        <x:f>IFERROR(J30/COUNTIFS('Test_Record'!$A$2:$A$481,A30,'Test_Record'!$E$2:$E$481,"&lt;&gt;Small",'Test_Record'!$H$2:$H$481,"Pick"),0)</x:f>
        <x:v>0</x:v>
      </x:c>
      <x:c r="L30" s="37" t="n">
        <x:f>COUNTIFS('Test_Record'!$A$2:$A$481,A30,'Test_Record'!$E$2:$E$481,"&lt;&gt;Small",'Test_Record'!$H$2:$H$481,"Pick",'Test_Record'!$K$2:$K$481,"Yes")</x:f>
        <x:v>0</x:v>
      </x:c>
      <x:c r="M30" s="38" t="n">
        <x:f>IFERROR(L30/COUNTIFS('Test_Record'!$A$2:$A$481,A30,'Test_Record'!$E$2:$E$481,"&lt;&gt;Small",'Test_Record'!$H$2:$H$481,"Pick"),0)</x:f>
        <x:v>0</x:v>
      </x:c>
      <x:c r="N30" s="37" t="n">
        <x:f>COUNTIFS('Test_Record'!$A$2:$A$481,A30,'Test_Record'!$E$2:$E$481,"&lt;&gt;Small",'Test_Record'!$H$2:$H$481,"Pick",'Test_Record'!$N$2:$N$481,"Yes")</x:f>
        <x:v>0</x:v>
      </x:c>
      <x:c r="O30" s="38" t="n">
        <x:f>IFERROR(N30/COUNTIFS('Test_Record'!$A$2:$A$481,A30,'Test_Record'!$E$2:$E$481,"&lt;&gt;Small",'Test_Record'!$H$2:$H$481,"Pick"),0)</x:f>
        <x:v>0</x:v>
      </x:c>
      <x:c r="P30" s="37" t="n">
        <x:f>COUNTIFS('Test_Record'!$A$2:$A$481,A30,'Test_Record'!$O$2:$O$481,"Yes")</x:f>
        <x:v>0</x:v>
      </x:c>
      <x:c r="Q30" s="38" t="n">
        <x:f>IFERROR(P30/C30,0)</x:f>
        <x:v>0</x:v>
      </x:c>
      <x:c r="R30" s="39" t="n">
        <x:f>SUMIFS('Test_Record'!$Q$2:$Q$481,'Test_Record'!$A$2:$A$481,A30)</x:f>
        <x:v>0</x:v>
      </x:c>
      <x:c r="S30" s="39" t="n">
        <x:f>IFERROR(AVERAGEIFS('Test_Record'!$Q$2:$Q$481,'Test_Record'!$A$2:$A$481,A30,'Test_Record'!$Q$2:$Q$481,"&gt;=0"),0)</x:f>
        <x:v>0</x:v>
      </x:c>
      <x:c r="T30" s="31"/>
    </x:row>
    <x:row r="31">
      <x:c r="A31" s="40" t="n">
        <x:v>30</x:v>
      </x:c>
      <x:c r="B31" s="37" t="str">
        <x:f>INDEX('Config'!$W$2:$W$5,MOD(A31-1,4)+1)</x:f>
        <x:v>B → C → D → A</x:v>
      </x:c>
      <x:c r="C31" s="37" t="n">
        <x:f>COUNTIFS('Test_Record'!$A$2:$A$481,A31,'Test_Record'!$F$2:$F$481,"&lt;&gt;")</x:f>
        <x:v>0</x:v>
      </x:c>
      <x:c r="D31" s="37" t="n">
        <x:f>COUNTIFS('Test_Record'!$A$2:$A$481,A31,'Test_Record'!$E$2:$E$481,"Small",'Test_Record'!$F$2:$F$481,"&lt;&gt;")</x:f>
        <x:v>0</x:v>
      </x:c>
      <x:c r="E31" s="37" t="n">
        <x:f>COUNTIFS('Test_Record'!$A$2:$A$481,A31,'Test_Record'!$E$2:$E$481,"Normal",'Test_Record'!$F$2:$F$481,"&lt;&gt;")</x:f>
        <x:v>0</x:v>
      </x:c>
      <x:c r="F31" s="37" t="n">
        <x:f>COUNTIFS('Test_Record'!$A$2:$A$481,A31,'Test_Record'!$E$2:$E$481,"Large",'Test_Record'!$F$2:$F$481,"&lt;&gt;")</x:f>
        <x:v>0</x:v>
      </x:c>
      <x:c r="G31" s="37" t="n">
        <x:f>COUNTIFS('Test_Record'!$A$2:$A$481,A31,'Test_Record'!$E$2:$E$481,"Small",'Test_Record'!$O$2:$O$481,"Yes")</x:f>
        <x:v>0</x:v>
      </x:c>
      <x:c r="H31" s="38" t="n">
        <x:f>IFERROR(G31/D31,0)</x:f>
        <x:v>0</x:v>
      </x:c>
      <x:c r="I31" s="37" t="n">
        <x:f>SUMIFS('Test_Record'!$I$2:$I$481,'Test_Record'!$A$2:$A$481,A31,'Test_Record'!$H$2:$H$481,"Pick",'Test_Record'!$E$2:$E$481,"&lt;&gt;Small")</x:f>
        <x:v>0</x:v>
      </x:c>
      <x:c r="J31" s="37" t="n">
        <x:f>COUNTIFS('Test_Record'!$A$2:$A$481,A31,'Test_Record'!$E$2:$E$481,"&lt;&gt;Small",'Test_Record'!$H$2:$H$481,"Pick",'Test_Record'!$J$2:$J$481,"Yes")</x:f>
        <x:v>0</x:v>
      </x:c>
      <x:c r="K31" s="38" t="n">
        <x:f>IFERROR(J31/COUNTIFS('Test_Record'!$A$2:$A$481,A31,'Test_Record'!$E$2:$E$481,"&lt;&gt;Small",'Test_Record'!$H$2:$H$481,"Pick"),0)</x:f>
        <x:v>0</x:v>
      </x:c>
      <x:c r="L31" s="37" t="n">
        <x:f>COUNTIFS('Test_Record'!$A$2:$A$481,A31,'Test_Record'!$E$2:$E$481,"&lt;&gt;Small",'Test_Record'!$H$2:$H$481,"Pick",'Test_Record'!$K$2:$K$481,"Yes")</x:f>
        <x:v>0</x:v>
      </x:c>
      <x:c r="M31" s="38" t="n">
        <x:f>IFERROR(L31/COUNTIFS('Test_Record'!$A$2:$A$481,A31,'Test_Record'!$E$2:$E$481,"&lt;&gt;Small",'Test_Record'!$H$2:$H$481,"Pick"),0)</x:f>
        <x:v>0</x:v>
      </x:c>
      <x:c r="N31" s="37" t="n">
        <x:f>COUNTIFS('Test_Record'!$A$2:$A$481,A31,'Test_Record'!$E$2:$E$481,"&lt;&gt;Small",'Test_Record'!$H$2:$H$481,"Pick",'Test_Record'!$N$2:$N$481,"Yes")</x:f>
        <x:v>0</x:v>
      </x:c>
      <x:c r="O31" s="38" t="n">
        <x:f>IFERROR(N31/COUNTIFS('Test_Record'!$A$2:$A$481,A31,'Test_Record'!$E$2:$E$481,"&lt;&gt;Small",'Test_Record'!$H$2:$H$481,"Pick"),0)</x:f>
        <x:v>0</x:v>
      </x:c>
      <x:c r="P31" s="37" t="n">
        <x:f>COUNTIFS('Test_Record'!$A$2:$A$481,A31,'Test_Record'!$O$2:$O$481,"Yes")</x:f>
        <x:v>0</x:v>
      </x:c>
      <x:c r="Q31" s="38" t="n">
        <x:f>IFERROR(P31/C31,0)</x:f>
        <x:v>0</x:v>
      </x:c>
      <x:c r="R31" s="39" t="n">
        <x:f>SUMIFS('Test_Record'!$Q$2:$Q$481,'Test_Record'!$A$2:$A$481,A31)</x:f>
        <x:v>0</x:v>
      </x:c>
      <x:c r="S31" s="39" t="n">
        <x:f>IFERROR(AVERAGEIFS('Test_Record'!$Q$2:$Q$481,'Test_Record'!$A$2:$A$481,A31,'Test_Record'!$Q$2:$Q$481,"&gt;=0"),0)</x:f>
        <x:v>0</x:v>
      </x:c>
      <x:c r="T31" s="31"/>
    </x:row>
    <x:row r="32">
      <x:c r="A32" s="40" t="n">
        <x:v>31</x:v>
      </x:c>
      <x:c r="B32" s="37" t="str">
        <x:f>INDEX('Config'!$W$2:$W$5,MOD(A32-1,4)+1)</x:f>
        <x:v>C → D → A → B</x:v>
      </x:c>
      <x:c r="C32" s="37" t="n">
        <x:f>COUNTIFS('Test_Record'!$A$2:$A$481,A32,'Test_Record'!$F$2:$F$481,"&lt;&gt;")</x:f>
        <x:v>0</x:v>
      </x:c>
      <x:c r="D32" s="37" t="n">
        <x:f>COUNTIFS('Test_Record'!$A$2:$A$481,A32,'Test_Record'!$E$2:$E$481,"Small",'Test_Record'!$F$2:$F$481,"&lt;&gt;")</x:f>
        <x:v>0</x:v>
      </x:c>
      <x:c r="E32" s="37" t="n">
        <x:f>COUNTIFS('Test_Record'!$A$2:$A$481,A32,'Test_Record'!$E$2:$E$481,"Normal",'Test_Record'!$F$2:$F$481,"&lt;&gt;")</x:f>
        <x:v>0</x:v>
      </x:c>
      <x:c r="F32" s="37" t="n">
        <x:f>COUNTIFS('Test_Record'!$A$2:$A$481,A32,'Test_Record'!$E$2:$E$481,"Large",'Test_Record'!$F$2:$F$481,"&lt;&gt;")</x:f>
        <x:v>0</x:v>
      </x:c>
      <x:c r="G32" s="37" t="n">
        <x:f>COUNTIFS('Test_Record'!$A$2:$A$481,A32,'Test_Record'!$E$2:$E$481,"Small",'Test_Record'!$O$2:$O$481,"Yes")</x:f>
        <x:v>0</x:v>
      </x:c>
      <x:c r="H32" s="38" t="n">
        <x:f>IFERROR(G32/D32,0)</x:f>
        <x:v>0</x:v>
      </x:c>
      <x:c r="I32" s="37" t="n">
        <x:f>SUMIFS('Test_Record'!$I$2:$I$481,'Test_Record'!$A$2:$A$481,A32,'Test_Record'!$H$2:$H$481,"Pick",'Test_Record'!$E$2:$E$481,"&lt;&gt;Small")</x:f>
        <x:v>0</x:v>
      </x:c>
      <x:c r="J32" s="37" t="n">
        <x:f>COUNTIFS('Test_Record'!$A$2:$A$481,A32,'Test_Record'!$E$2:$E$481,"&lt;&gt;Small",'Test_Record'!$H$2:$H$481,"Pick",'Test_Record'!$J$2:$J$481,"Yes")</x:f>
        <x:v>0</x:v>
      </x:c>
      <x:c r="K32" s="38" t="n">
        <x:f>IFERROR(J32/COUNTIFS('Test_Record'!$A$2:$A$481,A32,'Test_Record'!$E$2:$E$481,"&lt;&gt;Small",'Test_Record'!$H$2:$H$481,"Pick"),0)</x:f>
        <x:v>0</x:v>
      </x:c>
      <x:c r="L32" s="37" t="n">
        <x:f>COUNTIFS('Test_Record'!$A$2:$A$481,A32,'Test_Record'!$E$2:$E$481,"&lt;&gt;Small",'Test_Record'!$H$2:$H$481,"Pick",'Test_Record'!$K$2:$K$481,"Yes")</x:f>
        <x:v>0</x:v>
      </x:c>
      <x:c r="M32" s="38" t="n">
        <x:f>IFERROR(L32/COUNTIFS('Test_Record'!$A$2:$A$481,A32,'Test_Record'!$E$2:$E$481,"&lt;&gt;Small",'Test_Record'!$H$2:$H$481,"Pick"),0)</x:f>
        <x:v>0</x:v>
      </x:c>
      <x:c r="N32" s="37" t="n">
        <x:f>COUNTIFS('Test_Record'!$A$2:$A$481,A32,'Test_Record'!$E$2:$E$481,"&lt;&gt;Small",'Test_Record'!$H$2:$H$481,"Pick",'Test_Record'!$N$2:$N$481,"Yes")</x:f>
        <x:v>0</x:v>
      </x:c>
      <x:c r="O32" s="38" t="n">
        <x:f>IFERROR(N32/COUNTIFS('Test_Record'!$A$2:$A$481,A32,'Test_Record'!$E$2:$E$481,"&lt;&gt;Small",'Test_Record'!$H$2:$H$481,"Pick"),0)</x:f>
        <x:v>0</x:v>
      </x:c>
      <x:c r="P32" s="37" t="n">
        <x:f>COUNTIFS('Test_Record'!$A$2:$A$481,A32,'Test_Record'!$O$2:$O$481,"Yes")</x:f>
        <x:v>0</x:v>
      </x:c>
      <x:c r="Q32" s="38" t="n">
        <x:f>IFERROR(P32/C32,0)</x:f>
        <x:v>0</x:v>
      </x:c>
      <x:c r="R32" s="39" t="n">
        <x:f>SUMIFS('Test_Record'!$Q$2:$Q$481,'Test_Record'!$A$2:$A$481,A32)</x:f>
        <x:v>0</x:v>
      </x:c>
      <x:c r="S32" s="39" t="n">
        <x:f>IFERROR(AVERAGEIFS('Test_Record'!$Q$2:$Q$481,'Test_Record'!$A$2:$A$481,A32,'Test_Record'!$Q$2:$Q$481,"&gt;=0"),0)</x:f>
        <x:v>0</x:v>
      </x:c>
      <x:c r="T32" s="31"/>
    </x:row>
    <x:row r="33">
      <x:c r="A33" s="40" t="n">
        <x:v>32</x:v>
      </x:c>
      <x:c r="B33" s="37" t="str">
        <x:f>INDEX('Config'!$W$2:$W$5,MOD(A33-1,4)+1)</x:f>
        <x:v>D → A → B → C</x:v>
      </x:c>
      <x:c r="C33" s="37" t="n">
        <x:f>COUNTIFS('Test_Record'!$A$2:$A$481,A33,'Test_Record'!$F$2:$F$481,"&lt;&gt;")</x:f>
        <x:v>0</x:v>
      </x:c>
      <x:c r="D33" s="37" t="n">
        <x:f>COUNTIFS('Test_Record'!$A$2:$A$481,A33,'Test_Record'!$E$2:$E$481,"Small",'Test_Record'!$F$2:$F$481,"&lt;&gt;")</x:f>
        <x:v>0</x:v>
      </x:c>
      <x:c r="E33" s="37" t="n">
        <x:f>COUNTIFS('Test_Record'!$A$2:$A$481,A33,'Test_Record'!$E$2:$E$481,"Normal",'Test_Record'!$F$2:$F$481,"&lt;&gt;")</x:f>
        <x:v>0</x:v>
      </x:c>
      <x:c r="F33" s="37" t="n">
        <x:f>COUNTIFS('Test_Record'!$A$2:$A$481,A33,'Test_Record'!$E$2:$E$481,"Large",'Test_Record'!$F$2:$F$481,"&lt;&gt;")</x:f>
        <x:v>0</x:v>
      </x:c>
      <x:c r="G33" s="37" t="n">
        <x:f>COUNTIFS('Test_Record'!$A$2:$A$481,A33,'Test_Record'!$E$2:$E$481,"Small",'Test_Record'!$O$2:$O$481,"Yes")</x:f>
        <x:v>0</x:v>
      </x:c>
      <x:c r="H33" s="38" t="n">
        <x:f>IFERROR(G33/D33,0)</x:f>
        <x:v>0</x:v>
      </x:c>
      <x:c r="I33" s="37" t="n">
        <x:f>SUMIFS('Test_Record'!$I$2:$I$481,'Test_Record'!$A$2:$A$481,A33,'Test_Record'!$H$2:$H$481,"Pick",'Test_Record'!$E$2:$E$481,"&lt;&gt;Small")</x:f>
        <x:v>0</x:v>
      </x:c>
      <x:c r="J33" s="37" t="n">
        <x:f>COUNTIFS('Test_Record'!$A$2:$A$481,A33,'Test_Record'!$E$2:$E$481,"&lt;&gt;Small",'Test_Record'!$H$2:$H$481,"Pick",'Test_Record'!$J$2:$J$481,"Yes")</x:f>
        <x:v>0</x:v>
      </x:c>
      <x:c r="K33" s="38" t="n">
        <x:f>IFERROR(J33/COUNTIFS('Test_Record'!$A$2:$A$481,A33,'Test_Record'!$E$2:$E$481,"&lt;&gt;Small",'Test_Record'!$H$2:$H$481,"Pick"),0)</x:f>
        <x:v>0</x:v>
      </x:c>
      <x:c r="L33" s="37" t="n">
        <x:f>COUNTIFS('Test_Record'!$A$2:$A$481,A33,'Test_Record'!$E$2:$E$481,"&lt;&gt;Small",'Test_Record'!$H$2:$H$481,"Pick",'Test_Record'!$K$2:$K$481,"Yes")</x:f>
        <x:v>0</x:v>
      </x:c>
      <x:c r="M33" s="38" t="n">
        <x:f>IFERROR(L33/COUNTIFS('Test_Record'!$A$2:$A$481,A33,'Test_Record'!$E$2:$E$481,"&lt;&gt;Small",'Test_Record'!$H$2:$H$481,"Pick"),0)</x:f>
        <x:v>0</x:v>
      </x:c>
      <x:c r="N33" s="37" t="n">
        <x:f>COUNTIFS('Test_Record'!$A$2:$A$481,A33,'Test_Record'!$E$2:$E$481,"&lt;&gt;Small",'Test_Record'!$H$2:$H$481,"Pick",'Test_Record'!$N$2:$N$481,"Yes")</x:f>
        <x:v>0</x:v>
      </x:c>
      <x:c r="O33" s="38" t="n">
        <x:f>IFERROR(N33/COUNTIFS('Test_Record'!$A$2:$A$481,A33,'Test_Record'!$E$2:$E$481,"&lt;&gt;Small",'Test_Record'!$H$2:$H$481,"Pick"),0)</x:f>
        <x:v>0</x:v>
      </x:c>
      <x:c r="P33" s="37" t="n">
        <x:f>COUNTIFS('Test_Record'!$A$2:$A$481,A33,'Test_Record'!$O$2:$O$481,"Yes")</x:f>
        <x:v>0</x:v>
      </x:c>
      <x:c r="Q33" s="38" t="n">
        <x:f>IFERROR(P33/C33,0)</x:f>
        <x:v>0</x:v>
      </x:c>
      <x:c r="R33" s="39" t="n">
        <x:f>SUMIFS('Test_Record'!$Q$2:$Q$481,'Test_Record'!$A$2:$A$481,A33)</x:f>
        <x:v>0</x:v>
      </x:c>
      <x:c r="S33" s="39" t="n">
        <x:f>IFERROR(AVERAGEIFS('Test_Record'!$Q$2:$Q$481,'Test_Record'!$A$2:$A$481,A33,'Test_Record'!$Q$2:$Q$481,"&gt;=0"),0)</x:f>
        <x:v>0</x:v>
      </x:c>
      <x:c r="T33" s="31"/>
    </x:row>
    <x:row r="34">
      <x:c r="A34" s="40" t="n">
        <x:v>33</x:v>
      </x:c>
      <x:c r="B34" s="37" t="str">
        <x:f>INDEX('Config'!$W$2:$W$5,MOD(A34-1,4)+1)</x:f>
        <x:v>A → B → C → D</x:v>
      </x:c>
      <x:c r="C34" s="37" t="n">
        <x:f>COUNTIFS('Test_Record'!$A$2:$A$481,A34,'Test_Record'!$F$2:$F$481,"&lt;&gt;")</x:f>
        <x:v>0</x:v>
      </x:c>
      <x:c r="D34" s="37" t="n">
        <x:f>COUNTIFS('Test_Record'!$A$2:$A$481,A34,'Test_Record'!$E$2:$E$481,"Small",'Test_Record'!$F$2:$F$481,"&lt;&gt;")</x:f>
        <x:v>0</x:v>
      </x:c>
      <x:c r="E34" s="37" t="n">
        <x:f>COUNTIFS('Test_Record'!$A$2:$A$481,A34,'Test_Record'!$E$2:$E$481,"Normal",'Test_Record'!$F$2:$F$481,"&lt;&gt;")</x:f>
        <x:v>0</x:v>
      </x:c>
      <x:c r="F34" s="37" t="n">
        <x:f>COUNTIFS('Test_Record'!$A$2:$A$481,A34,'Test_Record'!$E$2:$E$481,"Large",'Test_Record'!$F$2:$F$481,"&lt;&gt;")</x:f>
        <x:v>0</x:v>
      </x:c>
      <x:c r="G34" s="37" t="n">
        <x:f>COUNTIFS('Test_Record'!$A$2:$A$481,A34,'Test_Record'!$E$2:$E$481,"Small",'Test_Record'!$O$2:$O$481,"Yes")</x:f>
        <x:v>0</x:v>
      </x:c>
      <x:c r="H34" s="38" t="n">
        <x:f>IFERROR(G34/D34,0)</x:f>
        <x:v>0</x:v>
      </x:c>
      <x:c r="I34" s="37" t="n">
        <x:f>SUMIFS('Test_Record'!$I$2:$I$481,'Test_Record'!$A$2:$A$481,A34,'Test_Record'!$H$2:$H$481,"Pick",'Test_Record'!$E$2:$E$481,"&lt;&gt;Small")</x:f>
        <x:v>0</x:v>
      </x:c>
      <x:c r="J34" s="37" t="n">
        <x:f>COUNTIFS('Test_Record'!$A$2:$A$481,A34,'Test_Record'!$E$2:$E$481,"&lt;&gt;Small",'Test_Record'!$H$2:$H$481,"Pick",'Test_Record'!$J$2:$J$481,"Yes")</x:f>
        <x:v>0</x:v>
      </x:c>
      <x:c r="K34" s="38" t="n">
        <x:f>IFERROR(J34/COUNTIFS('Test_Record'!$A$2:$A$481,A34,'Test_Record'!$E$2:$E$481,"&lt;&gt;Small",'Test_Record'!$H$2:$H$481,"Pick"),0)</x:f>
        <x:v>0</x:v>
      </x:c>
      <x:c r="L34" s="37" t="n">
        <x:f>COUNTIFS('Test_Record'!$A$2:$A$481,A34,'Test_Record'!$E$2:$E$481,"&lt;&gt;Small",'Test_Record'!$H$2:$H$481,"Pick",'Test_Record'!$K$2:$K$481,"Yes")</x:f>
        <x:v>0</x:v>
      </x:c>
      <x:c r="M34" s="38" t="n">
        <x:f>IFERROR(L34/COUNTIFS('Test_Record'!$A$2:$A$481,A34,'Test_Record'!$E$2:$E$481,"&lt;&gt;Small",'Test_Record'!$H$2:$H$481,"Pick"),0)</x:f>
        <x:v>0</x:v>
      </x:c>
      <x:c r="N34" s="37" t="n">
        <x:f>COUNTIFS('Test_Record'!$A$2:$A$481,A34,'Test_Record'!$E$2:$E$481,"&lt;&gt;Small",'Test_Record'!$H$2:$H$481,"Pick",'Test_Record'!$N$2:$N$481,"Yes")</x:f>
        <x:v>0</x:v>
      </x:c>
      <x:c r="O34" s="38" t="n">
        <x:f>IFERROR(N34/COUNTIFS('Test_Record'!$A$2:$A$481,A34,'Test_Record'!$E$2:$E$481,"&lt;&gt;Small",'Test_Record'!$H$2:$H$481,"Pick"),0)</x:f>
        <x:v>0</x:v>
      </x:c>
      <x:c r="P34" s="37" t="n">
        <x:f>COUNTIFS('Test_Record'!$A$2:$A$481,A34,'Test_Record'!$O$2:$O$481,"Yes")</x:f>
        <x:v>0</x:v>
      </x:c>
      <x:c r="Q34" s="38" t="n">
        <x:f>IFERROR(P34/C34,0)</x:f>
        <x:v>0</x:v>
      </x:c>
      <x:c r="R34" s="39" t="n">
        <x:f>SUMIFS('Test_Record'!$Q$2:$Q$481,'Test_Record'!$A$2:$A$481,A34)</x:f>
        <x:v>0</x:v>
      </x:c>
      <x:c r="S34" s="39" t="n">
        <x:f>IFERROR(AVERAGEIFS('Test_Record'!$Q$2:$Q$481,'Test_Record'!$A$2:$A$481,A34,'Test_Record'!$Q$2:$Q$481,"&gt;=0"),0)</x:f>
        <x:v>0</x:v>
      </x:c>
      <x:c r="T34" s="31"/>
    </x:row>
    <x:row r="35">
      <x:c r="A35" s="40" t="n">
        <x:v>34</x:v>
      </x:c>
      <x:c r="B35" s="37" t="str">
        <x:f>INDEX('Config'!$W$2:$W$5,MOD(A35-1,4)+1)</x:f>
        <x:v>B → C → D → A</x:v>
      </x:c>
      <x:c r="C35" s="37" t="n">
        <x:f>COUNTIFS('Test_Record'!$A$2:$A$481,A35,'Test_Record'!$F$2:$F$481,"&lt;&gt;")</x:f>
        <x:v>0</x:v>
      </x:c>
      <x:c r="D35" s="37" t="n">
        <x:f>COUNTIFS('Test_Record'!$A$2:$A$481,A35,'Test_Record'!$E$2:$E$481,"Small",'Test_Record'!$F$2:$F$481,"&lt;&gt;")</x:f>
        <x:v>0</x:v>
      </x:c>
      <x:c r="E35" s="37" t="n">
        <x:f>COUNTIFS('Test_Record'!$A$2:$A$481,A35,'Test_Record'!$E$2:$E$481,"Normal",'Test_Record'!$F$2:$F$481,"&lt;&gt;")</x:f>
        <x:v>0</x:v>
      </x:c>
      <x:c r="F35" s="37" t="n">
        <x:f>COUNTIFS('Test_Record'!$A$2:$A$481,A35,'Test_Record'!$E$2:$E$481,"Large",'Test_Record'!$F$2:$F$481,"&lt;&gt;")</x:f>
        <x:v>0</x:v>
      </x:c>
      <x:c r="G35" s="37" t="n">
        <x:f>COUNTIFS('Test_Record'!$A$2:$A$481,A35,'Test_Record'!$E$2:$E$481,"Small",'Test_Record'!$O$2:$O$481,"Yes")</x:f>
        <x:v>0</x:v>
      </x:c>
      <x:c r="H35" s="38" t="n">
        <x:f>IFERROR(G35/D35,0)</x:f>
        <x:v>0</x:v>
      </x:c>
      <x:c r="I35" s="37" t="n">
        <x:f>SUMIFS('Test_Record'!$I$2:$I$481,'Test_Record'!$A$2:$A$481,A35,'Test_Record'!$H$2:$H$481,"Pick",'Test_Record'!$E$2:$E$481,"&lt;&gt;Small")</x:f>
        <x:v>0</x:v>
      </x:c>
      <x:c r="J35" s="37" t="n">
        <x:f>COUNTIFS('Test_Record'!$A$2:$A$481,A35,'Test_Record'!$E$2:$E$481,"&lt;&gt;Small",'Test_Record'!$H$2:$H$481,"Pick",'Test_Record'!$J$2:$J$481,"Yes")</x:f>
        <x:v>0</x:v>
      </x:c>
      <x:c r="K35" s="38" t="n">
        <x:f>IFERROR(J35/COUNTIFS('Test_Record'!$A$2:$A$481,A35,'Test_Record'!$E$2:$E$481,"&lt;&gt;Small",'Test_Record'!$H$2:$H$481,"Pick"),0)</x:f>
        <x:v>0</x:v>
      </x:c>
      <x:c r="L35" s="37" t="n">
        <x:f>COUNTIFS('Test_Record'!$A$2:$A$481,A35,'Test_Record'!$E$2:$E$481,"&lt;&gt;Small",'Test_Record'!$H$2:$H$481,"Pick",'Test_Record'!$K$2:$K$481,"Yes")</x:f>
        <x:v>0</x:v>
      </x:c>
      <x:c r="M35" s="38" t="n">
        <x:f>IFERROR(L35/COUNTIFS('Test_Record'!$A$2:$A$481,A35,'Test_Record'!$E$2:$E$481,"&lt;&gt;Small",'Test_Record'!$H$2:$H$481,"Pick"),0)</x:f>
        <x:v>0</x:v>
      </x:c>
      <x:c r="N35" s="37" t="n">
        <x:f>COUNTIFS('Test_Record'!$A$2:$A$481,A35,'Test_Record'!$E$2:$E$481,"&lt;&gt;Small",'Test_Record'!$H$2:$H$481,"Pick",'Test_Record'!$N$2:$N$481,"Yes")</x:f>
        <x:v>0</x:v>
      </x:c>
      <x:c r="O35" s="38" t="n">
        <x:f>IFERROR(N35/COUNTIFS('Test_Record'!$A$2:$A$481,A35,'Test_Record'!$E$2:$E$481,"&lt;&gt;Small",'Test_Record'!$H$2:$H$481,"Pick"),0)</x:f>
        <x:v>0</x:v>
      </x:c>
      <x:c r="P35" s="37" t="n">
        <x:f>COUNTIFS('Test_Record'!$A$2:$A$481,A35,'Test_Record'!$O$2:$O$481,"Yes")</x:f>
        <x:v>0</x:v>
      </x:c>
      <x:c r="Q35" s="38" t="n">
        <x:f>IFERROR(P35/C35,0)</x:f>
        <x:v>0</x:v>
      </x:c>
      <x:c r="R35" s="39" t="n">
        <x:f>SUMIFS('Test_Record'!$Q$2:$Q$481,'Test_Record'!$A$2:$A$481,A35)</x:f>
        <x:v>0</x:v>
      </x:c>
      <x:c r="S35" s="39" t="n">
        <x:f>IFERROR(AVERAGEIFS('Test_Record'!$Q$2:$Q$481,'Test_Record'!$A$2:$A$481,A35,'Test_Record'!$Q$2:$Q$481,"&gt;=0"),0)</x:f>
        <x:v>0</x:v>
      </x:c>
      <x:c r="T35" s="31"/>
    </x:row>
    <x:row r="36">
      <x:c r="A36" s="40" t="n">
        <x:v>35</x:v>
      </x:c>
      <x:c r="B36" s="37" t="str">
        <x:f>INDEX('Config'!$W$2:$W$5,MOD(A36-1,4)+1)</x:f>
        <x:v>C → D → A → B</x:v>
      </x:c>
      <x:c r="C36" s="37" t="n">
        <x:f>COUNTIFS('Test_Record'!$A$2:$A$481,A36,'Test_Record'!$F$2:$F$481,"&lt;&gt;")</x:f>
        <x:v>0</x:v>
      </x:c>
      <x:c r="D36" s="37" t="n">
        <x:f>COUNTIFS('Test_Record'!$A$2:$A$481,A36,'Test_Record'!$E$2:$E$481,"Small",'Test_Record'!$F$2:$F$481,"&lt;&gt;")</x:f>
        <x:v>0</x:v>
      </x:c>
      <x:c r="E36" s="37" t="n">
        <x:f>COUNTIFS('Test_Record'!$A$2:$A$481,A36,'Test_Record'!$E$2:$E$481,"Normal",'Test_Record'!$F$2:$F$481,"&lt;&gt;")</x:f>
        <x:v>0</x:v>
      </x:c>
      <x:c r="F36" s="37" t="n">
        <x:f>COUNTIFS('Test_Record'!$A$2:$A$481,A36,'Test_Record'!$E$2:$E$481,"Large",'Test_Record'!$F$2:$F$481,"&lt;&gt;")</x:f>
        <x:v>0</x:v>
      </x:c>
      <x:c r="G36" s="37" t="n">
        <x:f>COUNTIFS('Test_Record'!$A$2:$A$481,A36,'Test_Record'!$E$2:$E$481,"Small",'Test_Record'!$O$2:$O$481,"Yes")</x:f>
        <x:v>0</x:v>
      </x:c>
      <x:c r="H36" s="38" t="n">
        <x:f>IFERROR(G36/D36,0)</x:f>
        <x:v>0</x:v>
      </x:c>
      <x:c r="I36" s="37" t="n">
        <x:f>SUMIFS('Test_Record'!$I$2:$I$481,'Test_Record'!$A$2:$A$481,A36,'Test_Record'!$H$2:$H$481,"Pick",'Test_Record'!$E$2:$E$481,"&lt;&gt;Small")</x:f>
        <x:v>0</x:v>
      </x:c>
      <x:c r="J36" s="37" t="n">
        <x:f>COUNTIFS('Test_Record'!$A$2:$A$481,A36,'Test_Record'!$E$2:$E$481,"&lt;&gt;Small",'Test_Record'!$H$2:$H$481,"Pick",'Test_Record'!$J$2:$J$481,"Yes")</x:f>
        <x:v>0</x:v>
      </x:c>
      <x:c r="K36" s="38" t="n">
        <x:f>IFERROR(J36/COUNTIFS('Test_Record'!$A$2:$A$481,A36,'Test_Record'!$E$2:$E$481,"&lt;&gt;Small",'Test_Record'!$H$2:$H$481,"Pick"),0)</x:f>
        <x:v>0</x:v>
      </x:c>
      <x:c r="L36" s="37" t="n">
        <x:f>COUNTIFS('Test_Record'!$A$2:$A$481,A36,'Test_Record'!$E$2:$E$481,"&lt;&gt;Small",'Test_Record'!$H$2:$H$481,"Pick",'Test_Record'!$K$2:$K$481,"Yes")</x:f>
        <x:v>0</x:v>
      </x:c>
      <x:c r="M36" s="38" t="n">
        <x:f>IFERROR(L36/COUNTIFS('Test_Record'!$A$2:$A$481,A36,'Test_Record'!$E$2:$E$481,"&lt;&gt;Small",'Test_Record'!$H$2:$H$481,"Pick"),0)</x:f>
        <x:v>0</x:v>
      </x:c>
      <x:c r="N36" s="37" t="n">
        <x:f>COUNTIFS('Test_Record'!$A$2:$A$481,A36,'Test_Record'!$E$2:$E$481,"&lt;&gt;Small",'Test_Record'!$H$2:$H$481,"Pick",'Test_Record'!$N$2:$N$481,"Yes")</x:f>
        <x:v>0</x:v>
      </x:c>
      <x:c r="O36" s="38" t="n">
        <x:f>IFERROR(N36/COUNTIFS('Test_Record'!$A$2:$A$481,A36,'Test_Record'!$E$2:$E$481,"&lt;&gt;Small",'Test_Record'!$H$2:$H$481,"Pick"),0)</x:f>
        <x:v>0</x:v>
      </x:c>
      <x:c r="P36" s="37" t="n">
        <x:f>COUNTIFS('Test_Record'!$A$2:$A$481,A36,'Test_Record'!$O$2:$O$481,"Yes")</x:f>
        <x:v>0</x:v>
      </x:c>
      <x:c r="Q36" s="38" t="n">
        <x:f>IFERROR(P36/C36,0)</x:f>
        <x:v>0</x:v>
      </x:c>
      <x:c r="R36" s="39" t="n">
        <x:f>SUMIFS('Test_Record'!$Q$2:$Q$481,'Test_Record'!$A$2:$A$481,A36)</x:f>
        <x:v>0</x:v>
      </x:c>
      <x:c r="S36" s="39" t="n">
        <x:f>IFERROR(AVERAGEIFS('Test_Record'!$Q$2:$Q$481,'Test_Record'!$A$2:$A$481,A36,'Test_Record'!$Q$2:$Q$481,"&gt;=0"),0)</x:f>
        <x:v>0</x:v>
      </x:c>
      <x:c r="T36" s="31"/>
    </x:row>
    <x:row r="37">
      <x:c r="A37" s="40" t="n">
        <x:v>36</x:v>
      </x:c>
      <x:c r="B37" s="37" t="str">
        <x:f>INDEX('Config'!$W$2:$W$5,MOD(A37-1,4)+1)</x:f>
        <x:v>D → A → B → C</x:v>
      </x:c>
      <x:c r="C37" s="37" t="n">
        <x:f>COUNTIFS('Test_Record'!$A$2:$A$481,A37,'Test_Record'!$F$2:$F$481,"&lt;&gt;")</x:f>
        <x:v>0</x:v>
      </x:c>
      <x:c r="D37" s="37" t="n">
        <x:f>COUNTIFS('Test_Record'!$A$2:$A$481,A37,'Test_Record'!$E$2:$E$481,"Small",'Test_Record'!$F$2:$F$481,"&lt;&gt;")</x:f>
        <x:v>0</x:v>
      </x:c>
      <x:c r="E37" s="37" t="n">
        <x:f>COUNTIFS('Test_Record'!$A$2:$A$481,A37,'Test_Record'!$E$2:$E$481,"Normal",'Test_Record'!$F$2:$F$481,"&lt;&gt;")</x:f>
        <x:v>0</x:v>
      </x:c>
      <x:c r="F37" s="37" t="n">
        <x:f>COUNTIFS('Test_Record'!$A$2:$A$481,A37,'Test_Record'!$E$2:$E$481,"Large",'Test_Record'!$F$2:$F$481,"&lt;&gt;")</x:f>
        <x:v>0</x:v>
      </x:c>
      <x:c r="G37" s="37" t="n">
        <x:f>COUNTIFS('Test_Record'!$A$2:$A$481,A37,'Test_Record'!$E$2:$E$481,"Small",'Test_Record'!$O$2:$O$481,"Yes")</x:f>
        <x:v>0</x:v>
      </x:c>
      <x:c r="H37" s="38" t="n">
        <x:f>IFERROR(G37/D37,0)</x:f>
        <x:v>0</x:v>
      </x:c>
      <x:c r="I37" s="37" t="n">
        <x:f>SUMIFS('Test_Record'!$I$2:$I$481,'Test_Record'!$A$2:$A$481,A37,'Test_Record'!$H$2:$H$481,"Pick",'Test_Record'!$E$2:$E$481,"&lt;&gt;Small")</x:f>
        <x:v>0</x:v>
      </x:c>
      <x:c r="J37" s="37" t="n">
        <x:f>COUNTIFS('Test_Record'!$A$2:$A$481,A37,'Test_Record'!$E$2:$E$481,"&lt;&gt;Small",'Test_Record'!$H$2:$H$481,"Pick",'Test_Record'!$J$2:$J$481,"Yes")</x:f>
        <x:v>0</x:v>
      </x:c>
      <x:c r="K37" s="38" t="n">
        <x:f>IFERROR(J37/COUNTIFS('Test_Record'!$A$2:$A$481,A37,'Test_Record'!$E$2:$E$481,"&lt;&gt;Small",'Test_Record'!$H$2:$H$481,"Pick"),0)</x:f>
        <x:v>0</x:v>
      </x:c>
      <x:c r="L37" s="37" t="n">
        <x:f>COUNTIFS('Test_Record'!$A$2:$A$481,A37,'Test_Record'!$E$2:$E$481,"&lt;&gt;Small",'Test_Record'!$H$2:$H$481,"Pick",'Test_Record'!$K$2:$K$481,"Yes")</x:f>
        <x:v>0</x:v>
      </x:c>
      <x:c r="M37" s="38" t="n">
        <x:f>IFERROR(L37/COUNTIFS('Test_Record'!$A$2:$A$481,A37,'Test_Record'!$E$2:$E$481,"&lt;&gt;Small",'Test_Record'!$H$2:$H$481,"Pick"),0)</x:f>
        <x:v>0</x:v>
      </x:c>
      <x:c r="N37" s="37" t="n">
        <x:f>COUNTIFS('Test_Record'!$A$2:$A$481,A37,'Test_Record'!$E$2:$E$481,"&lt;&gt;Small",'Test_Record'!$H$2:$H$481,"Pick",'Test_Record'!$N$2:$N$481,"Yes")</x:f>
        <x:v>0</x:v>
      </x:c>
      <x:c r="O37" s="38" t="n">
        <x:f>IFERROR(N37/COUNTIFS('Test_Record'!$A$2:$A$481,A37,'Test_Record'!$E$2:$E$481,"&lt;&gt;Small",'Test_Record'!$H$2:$H$481,"Pick"),0)</x:f>
        <x:v>0</x:v>
      </x:c>
      <x:c r="P37" s="37" t="n">
        <x:f>COUNTIFS('Test_Record'!$A$2:$A$481,A37,'Test_Record'!$O$2:$O$481,"Yes")</x:f>
        <x:v>0</x:v>
      </x:c>
      <x:c r="Q37" s="38" t="n">
        <x:f>IFERROR(P37/C37,0)</x:f>
        <x:v>0</x:v>
      </x:c>
      <x:c r="R37" s="39" t="n">
        <x:f>SUMIFS('Test_Record'!$Q$2:$Q$481,'Test_Record'!$A$2:$A$481,A37)</x:f>
        <x:v>0</x:v>
      </x:c>
      <x:c r="S37" s="39" t="n">
        <x:f>IFERROR(AVERAGEIFS('Test_Record'!$Q$2:$Q$481,'Test_Record'!$A$2:$A$481,A37,'Test_Record'!$Q$2:$Q$481,"&gt;=0"),0)</x:f>
        <x:v>0</x:v>
      </x:c>
      <x:c r="T37" s="31"/>
    </x:row>
    <x:row r="38">
      <x:c r="A38" s="40" t="n">
        <x:v>37</x:v>
      </x:c>
      <x:c r="B38" s="37" t="str">
        <x:f>INDEX('Config'!$W$2:$W$5,MOD(A38-1,4)+1)</x:f>
        <x:v>A → B → C → D</x:v>
      </x:c>
      <x:c r="C38" s="37" t="n">
        <x:f>COUNTIFS('Test_Record'!$A$2:$A$481,A38,'Test_Record'!$F$2:$F$481,"&lt;&gt;")</x:f>
        <x:v>0</x:v>
      </x:c>
      <x:c r="D38" s="37" t="n">
        <x:f>COUNTIFS('Test_Record'!$A$2:$A$481,A38,'Test_Record'!$E$2:$E$481,"Small",'Test_Record'!$F$2:$F$481,"&lt;&gt;")</x:f>
        <x:v>0</x:v>
      </x:c>
      <x:c r="E38" s="37" t="n">
        <x:f>COUNTIFS('Test_Record'!$A$2:$A$481,A38,'Test_Record'!$E$2:$E$481,"Normal",'Test_Record'!$F$2:$F$481,"&lt;&gt;")</x:f>
        <x:v>0</x:v>
      </x:c>
      <x:c r="F38" s="37" t="n">
        <x:f>COUNTIFS('Test_Record'!$A$2:$A$481,A38,'Test_Record'!$E$2:$E$481,"Large",'Test_Record'!$F$2:$F$481,"&lt;&gt;")</x:f>
        <x:v>0</x:v>
      </x:c>
      <x:c r="G38" s="37" t="n">
        <x:f>COUNTIFS('Test_Record'!$A$2:$A$481,A38,'Test_Record'!$E$2:$E$481,"Small",'Test_Record'!$O$2:$O$481,"Yes")</x:f>
        <x:v>0</x:v>
      </x:c>
      <x:c r="H38" s="38" t="n">
        <x:f>IFERROR(G38/D38,0)</x:f>
        <x:v>0</x:v>
      </x:c>
      <x:c r="I38" s="37" t="n">
        <x:f>SUMIFS('Test_Record'!$I$2:$I$481,'Test_Record'!$A$2:$A$481,A38,'Test_Record'!$H$2:$H$481,"Pick",'Test_Record'!$E$2:$E$481,"&lt;&gt;Small")</x:f>
        <x:v>0</x:v>
      </x:c>
      <x:c r="J38" s="37" t="n">
        <x:f>COUNTIFS('Test_Record'!$A$2:$A$481,A38,'Test_Record'!$E$2:$E$481,"&lt;&gt;Small",'Test_Record'!$H$2:$H$481,"Pick",'Test_Record'!$J$2:$J$481,"Yes")</x:f>
        <x:v>0</x:v>
      </x:c>
      <x:c r="K38" s="38" t="n">
        <x:f>IFERROR(J38/COUNTIFS('Test_Record'!$A$2:$A$481,A38,'Test_Record'!$E$2:$E$481,"&lt;&gt;Small",'Test_Record'!$H$2:$H$481,"Pick"),0)</x:f>
        <x:v>0</x:v>
      </x:c>
      <x:c r="L38" s="37" t="n">
        <x:f>COUNTIFS('Test_Record'!$A$2:$A$481,A38,'Test_Record'!$E$2:$E$481,"&lt;&gt;Small",'Test_Record'!$H$2:$H$481,"Pick",'Test_Record'!$K$2:$K$481,"Yes")</x:f>
        <x:v>0</x:v>
      </x:c>
      <x:c r="M38" s="38" t="n">
        <x:f>IFERROR(L38/COUNTIFS('Test_Record'!$A$2:$A$481,A38,'Test_Record'!$E$2:$E$481,"&lt;&gt;Small",'Test_Record'!$H$2:$H$481,"Pick"),0)</x:f>
        <x:v>0</x:v>
      </x:c>
      <x:c r="N38" s="37" t="n">
        <x:f>COUNTIFS('Test_Record'!$A$2:$A$481,A38,'Test_Record'!$E$2:$E$481,"&lt;&gt;Small",'Test_Record'!$H$2:$H$481,"Pick",'Test_Record'!$N$2:$N$481,"Yes")</x:f>
        <x:v>0</x:v>
      </x:c>
      <x:c r="O38" s="38" t="n">
        <x:f>IFERROR(N38/COUNTIFS('Test_Record'!$A$2:$A$481,A38,'Test_Record'!$E$2:$E$481,"&lt;&gt;Small",'Test_Record'!$H$2:$H$481,"Pick"),0)</x:f>
        <x:v>0</x:v>
      </x:c>
      <x:c r="P38" s="37" t="n">
        <x:f>COUNTIFS('Test_Record'!$A$2:$A$481,A38,'Test_Record'!$O$2:$O$481,"Yes")</x:f>
        <x:v>0</x:v>
      </x:c>
      <x:c r="Q38" s="38" t="n">
        <x:f>IFERROR(P38/C38,0)</x:f>
        <x:v>0</x:v>
      </x:c>
      <x:c r="R38" s="39" t="n">
        <x:f>SUMIFS('Test_Record'!$Q$2:$Q$481,'Test_Record'!$A$2:$A$481,A38)</x:f>
        <x:v>0</x:v>
      </x:c>
      <x:c r="S38" s="39" t="n">
        <x:f>IFERROR(AVERAGEIFS('Test_Record'!$Q$2:$Q$481,'Test_Record'!$A$2:$A$481,A38,'Test_Record'!$Q$2:$Q$481,"&gt;=0"),0)</x:f>
        <x:v>0</x:v>
      </x:c>
      <x:c r="T38" s="31"/>
    </x:row>
    <x:row r="39">
      <x:c r="A39" s="40" t="n">
        <x:v>38</x:v>
      </x:c>
      <x:c r="B39" s="37" t="str">
        <x:f>INDEX('Config'!$W$2:$W$5,MOD(A39-1,4)+1)</x:f>
        <x:v>B → C → D → A</x:v>
      </x:c>
      <x:c r="C39" s="37" t="n">
        <x:f>COUNTIFS('Test_Record'!$A$2:$A$481,A39,'Test_Record'!$F$2:$F$481,"&lt;&gt;")</x:f>
        <x:v>0</x:v>
      </x:c>
      <x:c r="D39" s="37" t="n">
        <x:f>COUNTIFS('Test_Record'!$A$2:$A$481,A39,'Test_Record'!$E$2:$E$481,"Small",'Test_Record'!$F$2:$F$481,"&lt;&gt;")</x:f>
        <x:v>0</x:v>
      </x:c>
      <x:c r="E39" s="37" t="n">
        <x:f>COUNTIFS('Test_Record'!$A$2:$A$481,A39,'Test_Record'!$E$2:$E$481,"Normal",'Test_Record'!$F$2:$F$481,"&lt;&gt;")</x:f>
        <x:v>0</x:v>
      </x:c>
      <x:c r="F39" s="37" t="n">
        <x:f>COUNTIFS('Test_Record'!$A$2:$A$481,A39,'Test_Record'!$E$2:$E$481,"Large",'Test_Record'!$F$2:$F$481,"&lt;&gt;")</x:f>
        <x:v>0</x:v>
      </x:c>
      <x:c r="G39" s="37" t="n">
        <x:f>COUNTIFS('Test_Record'!$A$2:$A$481,A39,'Test_Record'!$E$2:$E$481,"Small",'Test_Record'!$O$2:$O$481,"Yes")</x:f>
        <x:v>0</x:v>
      </x:c>
      <x:c r="H39" s="38" t="n">
        <x:f>IFERROR(G39/D39,0)</x:f>
        <x:v>0</x:v>
      </x:c>
      <x:c r="I39" s="37" t="n">
        <x:f>SUMIFS('Test_Record'!$I$2:$I$481,'Test_Record'!$A$2:$A$481,A39,'Test_Record'!$H$2:$H$481,"Pick",'Test_Record'!$E$2:$E$481,"&lt;&gt;Small")</x:f>
        <x:v>0</x:v>
      </x:c>
      <x:c r="J39" s="37" t="n">
        <x:f>COUNTIFS('Test_Record'!$A$2:$A$481,A39,'Test_Record'!$E$2:$E$481,"&lt;&gt;Small",'Test_Record'!$H$2:$H$481,"Pick",'Test_Record'!$J$2:$J$481,"Yes")</x:f>
        <x:v>0</x:v>
      </x:c>
      <x:c r="K39" s="38" t="n">
        <x:f>IFERROR(J39/COUNTIFS('Test_Record'!$A$2:$A$481,A39,'Test_Record'!$E$2:$E$481,"&lt;&gt;Small",'Test_Record'!$H$2:$H$481,"Pick"),0)</x:f>
        <x:v>0</x:v>
      </x:c>
      <x:c r="L39" s="37" t="n">
        <x:f>COUNTIFS('Test_Record'!$A$2:$A$481,A39,'Test_Record'!$E$2:$E$481,"&lt;&gt;Small",'Test_Record'!$H$2:$H$481,"Pick",'Test_Record'!$K$2:$K$481,"Yes")</x:f>
        <x:v>0</x:v>
      </x:c>
      <x:c r="M39" s="38" t="n">
        <x:f>IFERROR(L39/COUNTIFS('Test_Record'!$A$2:$A$481,A39,'Test_Record'!$E$2:$E$481,"&lt;&gt;Small",'Test_Record'!$H$2:$H$481,"Pick"),0)</x:f>
        <x:v>0</x:v>
      </x:c>
      <x:c r="N39" s="37" t="n">
        <x:f>COUNTIFS('Test_Record'!$A$2:$A$481,A39,'Test_Record'!$E$2:$E$481,"&lt;&gt;Small",'Test_Record'!$H$2:$H$481,"Pick",'Test_Record'!$N$2:$N$481,"Yes")</x:f>
        <x:v>0</x:v>
      </x:c>
      <x:c r="O39" s="38" t="n">
        <x:f>IFERROR(N39/COUNTIFS('Test_Record'!$A$2:$A$481,A39,'Test_Record'!$E$2:$E$481,"&lt;&gt;Small",'Test_Record'!$H$2:$H$481,"Pick"),0)</x:f>
        <x:v>0</x:v>
      </x:c>
      <x:c r="P39" s="37" t="n">
        <x:f>COUNTIFS('Test_Record'!$A$2:$A$481,A39,'Test_Record'!$O$2:$O$481,"Yes")</x:f>
        <x:v>0</x:v>
      </x:c>
      <x:c r="Q39" s="38" t="n">
        <x:f>IFERROR(P39/C39,0)</x:f>
        <x:v>0</x:v>
      </x:c>
      <x:c r="R39" s="39" t="n">
        <x:f>SUMIFS('Test_Record'!$Q$2:$Q$481,'Test_Record'!$A$2:$A$481,A39)</x:f>
        <x:v>0</x:v>
      </x:c>
      <x:c r="S39" s="39" t="n">
        <x:f>IFERROR(AVERAGEIFS('Test_Record'!$Q$2:$Q$481,'Test_Record'!$A$2:$A$481,A39,'Test_Record'!$Q$2:$Q$481,"&gt;=0"),0)</x:f>
        <x:v>0</x:v>
      </x:c>
      <x:c r="T39" s="31"/>
    </x:row>
    <x:row r="40">
      <x:c r="A40" s="40" t="n">
        <x:v>39</x:v>
      </x:c>
      <x:c r="B40" s="37" t="str">
        <x:f>INDEX('Config'!$W$2:$W$5,MOD(A40-1,4)+1)</x:f>
        <x:v>C → D → A → B</x:v>
      </x:c>
      <x:c r="C40" s="37" t="n">
        <x:f>COUNTIFS('Test_Record'!$A$2:$A$481,A40,'Test_Record'!$F$2:$F$481,"&lt;&gt;")</x:f>
        <x:v>0</x:v>
      </x:c>
      <x:c r="D40" s="37" t="n">
        <x:f>COUNTIFS('Test_Record'!$A$2:$A$481,A40,'Test_Record'!$E$2:$E$481,"Small",'Test_Record'!$F$2:$F$481,"&lt;&gt;")</x:f>
        <x:v>0</x:v>
      </x:c>
      <x:c r="E40" s="37" t="n">
        <x:f>COUNTIFS('Test_Record'!$A$2:$A$481,A40,'Test_Record'!$E$2:$E$481,"Normal",'Test_Record'!$F$2:$F$481,"&lt;&gt;")</x:f>
        <x:v>0</x:v>
      </x:c>
      <x:c r="F40" s="37" t="n">
        <x:f>COUNTIFS('Test_Record'!$A$2:$A$481,A40,'Test_Record'!$E$2:$E$481,"Large",'Test_Record'!$F$2:$F$481,"&lt;&gt;")</x:f>
        <x:v>0</x:v>
      </x:c>
      <x:c r="G40" s="37" t="n">
        <x:f>COUNTIFS('Test_Record'!$A$2:$A$481,A40,'Test_Record'!$E$2:$E$481,"Small",'Test_Record'!$O$2:$O$481,"Yes")</x:f>
        <x:v>0</x:v>
      </x:c>
      <x:c r="H40" s="38" t="n">
        <x:f>IFERROR(G40/D40,0)</x:f>
        <x:v>0</x:v>
      </x:c>
      <x:c r="I40" s="37" t="n">
        <x:f>SUMIFS('Test_Record'!$I$2:$I$481,'Test_Record'!$A$2:$A$481,A40,'Test_Record'!$H$2:$H$481,"Pick",'Test_Record'!$E$2:$E$481,"&lt;&gt;Small")</x:f>
        <x:v>0</x:v>
      </x:c>
      <x:c r="J40" s="37" t="n">
        <x:f>COUNTIFS('Test_Record'!$A$2:$A$481,A40,'Test_Record'!$E$2:$E$481,"&lt;&gt;Small",'Test_Record'!$H$2:$H$481,"Pick",'Test_Record'!$J$2:$J$481,"Yes")</x:f>
        <x:v>0</x:v>
      </x:c>
      <x:c r="K40" s="38" t="n">
        <x:f>IFERROR(J40/COUNTIFS('Test_Record'!$A$2:$A$481,A40,'Test_Record'!$E$2:$E$481,"&lt;&gt;Small",'Test_Record'!$H$2:$H$481,"Pick"),0)</x:f>
        <x:v>0</x:v>
      </x:c>
      <x:c r="L40" s="37" t="n">
        <x:f>COUNTIFS('Test_Record'!$A$2:$A$481,A40,'Test_Record'!$E$2:$E$481,"&lt;&gt;Small",'Test_Record'!$H$2:$H$481,"Pick",'Test_Record'!$K$2:$K$481,"Yes")</x:f>
        <x:v>0</x:v>
      </x:c>
      <x:c r="M40" s="38" t="n">
        <x:f>IFERROR(L40/COUNTIFS('Test_Record'!$A$2:$A$481,A40,'Test_Record'!$E$2:$E$481,"&lt;&gt;Small",'Test_Record'!$H$2:$H$481,"Pick"),0)</x:f>
        <x:v>0</x:v>
      </x:c>
      <x:c r="N40" s="37" t="n">
        <x:f>COUNTIFS('Test_Record'!$A$2:$A$481,A40,'Test_Record'!$E$2:$E$481,"&lt;&gt;Small",'Test_Record'!$H$2:$H$481,"Pick",'Test_Record'!$N$2:$N$481,"Yes")</x:f>
        <x:v>0</x:v>
      </x:c>
      <x:c r="O40" s="38" t="n">
        <x:f>IFERROR(N40/COUNTIFS('Test_Record'!$A$2:$A$481,A40,'Test_Record'!$E$2:$E$481,"&lt;&gt;Small",'Test_Record'!$H$2:$H$481,"Pick"),0)</x:f>
        <x:v>0</x:v>
      </x:c>
      <x:c r="P40" s="37" t="n">
        <x:f>COUNTIFS('Test_Record'!$A$2:$A$481,A40,'Test_Record'!$O$2:$O$481,"Yes")</x:f>
        <x:v>0</x:v>
      </x:c>
      <x:c r="Q40" s="38" t="n">
        <x:f>IFERROR(P40/C40,0)</x:f>
        <x:v>0</x:v>
      </x:c>
      <x:c r="R40" s="39" t="n">
        <x:f>SUMIFS('Test_Record'!$Q$2:$Q$481,'Test_Record'!$A$2:$A$481,A40)</x:f>
        <x:v>0</x:v>
      </x:c>
      <x:c r="S40" s="39" t="n">
        <x:f>IFERROR(AVERAGEIFS('Test_Record'!$Q$2:$Q$481,'Test_Record'!$A$2:$A$481,A40,'Test_Record'!$Q$2:$Q$481,"&gt;=0"),0)</x:f>
        <x:v>0</x:v>
      </x:c>
      <x:c r="T40" s="31"/>
    </x:row>
    <x:row r="41">
      <x:c r="A41" s="40" t="n">
        <x:v>40</x:v>
      </x:c>
      <x:c r="B41" s="37" t="str">
        <x:f>INDEX('Config'!$W$2:$W$5,MOD(A41-1,4)+1)</x:f>
        <x:v>D → A → B → C</x:v>
      </x:c>
      <x:c r="C41" s="37" t="n">
        <x:f>COUNTIFS('Test_Record'!$A$2:$A$481,A41,'Test_Record'!$F$2:$F$481,"&lt;&gt;")</x:f>
        <x:v>0</x:v>
      </x:c>
      <x:c r="D41" s="37" t="n">
        <x:f>COUNTIFS('Test_Record'!$A$2:$A$481,A41,'Test_Record'!$E$2:$E$481,"Small",'Test_Record'!$F$2:$F$481,"&lt;&gt;")</x:f>
        <x:v>0</x:v>
      </x:c>
      <x:c r="E41" s="37" t="n">
        <x:f>COUNTIFS('Test_Record'!$A$2:$A$481,A41,'Test_Record'!$E$2:$E$481,"Normal",'Test_Record'!$F$2:$F$481,"&lt;&gt;")</x:f>
        <x:v>0</x:v>
      </x:c>
      <x:c r="F41" s="37" t="n">
        <x:f>COUNTIFS('Test_Record'!$A$2:$A$481,A41,'Test_Record'!$E$2:$E$481,"Large",'Test_Record'!$F$2:$F$481,"&lt;&gt;")</x:f>
        <x:v>0</x:v>
      </x:c>
      <x:c r="G41" s="37" t="n">
        <x:f>COUNTIFS('Test_Record'!$A$2:$A$481,A41,'Test_Record'!$E$2:$E$481,"Small",'Test_Record'!$O$2:$O$481,"Yes")</x:f>
        <x:v>0</x:v>
      </x:c>
      <x:c r="H41" s="38" t="n">
        <x:f>IFERROR(G41/D41,0)</x:f>
        <x:v>0</x:v>
      </x:c>
      <x:c r="I41" s="37" t="n">
        <x:f>SUMIFS('Test_Record'!$I$2:$I$481,'Test_Record'!$A$2:$A$481,A41,'Test_Record'!$H$2:$H$481,"Pick",'Test_Record'!$E$2:$E$481,"&lt;&gt;Small")</x:f>
        <x:v>0</x:v>
      </x:c>
      <x:c r="J41" s="37" t="n">
        <x:f>COUNTIFS('Test_Record'!$A$2:$A$481,A41,'Test_Record'!$E$2:$E$481,"&lt;&gt;Small",'Test_Record'!$H$2:$H$481,"Pick",'Test_Record'!$J$2:$J$481,"Yes")</x:f>
        <x:v>0</x:v>
      </x:c>
      <x:c r="K41" s="38" t="n">
        <x:f>IFERROR(J41/COUNTIFS('Test_Record'!$A$2:$A$481,A41,'Test_Record'!$E$2:$E$481,"&lt;&gt;Small",'Test_Record'!$H$2:$H$481,"Pick"),0)</x:f>
        <x:v>0</x:v>
      </x:c>
      <x:c r="L41" s="37" t="n">
        <x:f>COUNTIFS('Test_Record'!$A$2:$A$481,A41,'Test_Record'!$E$2:$E$481,"&lt;&gt;Small",'Test_Record'!$H$2:$H$481,"Pick",'Test_Record'!$K$2:$K$481,"Yes")</x:f>
        <x:v>0</x:v>
      </x:c>
      <x:c r="M41" s="38" t="n">
        <x:f>IFERROR(L41/COUNTIFS('Test_Record'!$A$2:$A$481,A41,'Test_Record'!$E$2:$E$481,"&lt;&gt;Small",'Test_Record'!$H$2:$H$481,"Pick"),0)</x:f>
        <x:v>0</x:v>
      </x:c>
      <x:c r="N41" s="37" t="n">
        <x:f>COUNTIFS('Test_Record'!$A$2:$A$481,A41,'Test_Record'!$E$2:$E$481,"&lt;&gt;Small",'Test_Record'!$H$2:$H$481,"Pick",'Test_Record'!$N$2:$N$481,"Yes")</x:f>
        <x:v>0</x:v>
      </x:c>
      <x:c r="O41" s="38" t="n">
        <x:f>IFERROR(N41/COUNTIFS('Test_Record'!$A$2:$A$481,A41,'Test_Record'!$E$2:$E$481,"&lt;&gt;Small",'Test_Record'!$H$2:$H$481,"Pick"),0)</x:f>
        <x:v>0</x:v>
      </x:c>
      <x:c r="P41" s="37" t="n">
        <x:f>COUNTIFS('Test_Record'!$A$2:$A$481,A41,'Test_Record'!$O$2:$O$481,"Yes")</x:f>
        <x:v>0</x:v>
      </x:c>
      <x:c r="Q41" s="38" t="n">
        <x:f>IFERROR(P41/C41,0)</x:f>
        <x:v>0</x:v>
      </x:c>
      <x:c r="R41" s="39" t="n">
        <x:f>SUMIFS('Test_Record'!$Q$2:$Q$481,'Test_Record'!$A$2:$A$481,A41)</x:f>
        <x:v>0</x:v>
      </x:c>
      <x:c r="S41" s="39" t="n">
        <x:f>IFERROR(AVERAGEIFS('Test_Record'!$Q$2:$Q$481,'Test_Record'!$A$2:$A$481,A41,'Test_Record'!$Q$2:$Q$481,"&gt;=0"),0)</x:f>
        <x:v>0</x:v>
      </x:c>
      <x:c r="T41" s="31"/>
    </x:row>
  </x:sheetData>
  <x:pageMargins left="0.7" right="0.7" top="0.75" bottom="0.75" header="0.3" footer="0.3"/>
  <x:tableParts count="1">
    <x:tablePart xmlns:r="http://schemas.openxmlformats.org/officeDocument/2006/relationships" r:id="Re7a0a0a9c30448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4" hidden="0" customWidth="1"/>
    <x:col min="4" max="4" width="36" hidden="0" customWidth="1"/>
    <x:col min="5" max="5" width="18" hidden="0" customWidth="1"/>
    <x:col min="6" max="6" width="22" hidden="0" customWidth="1"/>
    <x:col min="7" max="7" width="36" hidden="0" customWidth="1"/>
    <x:col min="8" max="8" width="18" hidden="0" customWidth="1"/>
    <x:col min="9" max="9" width="3" hidden="0" customWidth="1"/>
  </x:cols>
  <x:sheetData>
    <x:row r="1" ht="30" customHeight="1">
      <x:c r="A1" s="74" t="str">
        <x:v>采蘑菇机械臂抓取成功率测试｜Overall Summary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</x:row>
    <x:row r="2" ht="30" customHeight="1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</x:row>
    <x:row r="4" ht="24" customHeight="1">
      <x:c r="A4" s="46" t="str">
        <x:v>Test Scale</x:v>
      </x:c>
      <x:c r="B4" s="46" t="str">
        <x:v>Test Scale</x:v>
      </x:c>
      <x:c r="D4" s="46" t="str">
        <x:v>Detection</x:v>
      </x:c>
      <x:c r="E4" s="46" t="str">
        <x:v>Detection</x:v>
      </x:c>
      <x:c r="G4" s="46" t="str">
        <x:v>Size Classification</x:v>
      </x:c>
      <x:c r="H4" s="46" t="str">
        <x:v>Size Classification</x:v>
      </x:c>
    </x:row>
    <x:row r="5">
      <x:c r="A5" s="49" t="str">
        <x:v>Completed Rounds</x:v>
      </x:c>
      <x:c r="B5" s="60" t="n">
        <x:f>COUNTIF('Round_Summary'!$C$2:$C$41,'Config'!$T$6)</x:f>
        <x:v>0</x:v>
      </x:c>
      <x:c r="D5" s="49" t="str">
        <x:v>Overall Detection Rate</x:v>
      </x:c>
      <x:c r="E5" s="63" t="n">
        <x:f>IFERROR(COUNTIF('Test_Record'!$F$2:$F$481,"Yes")/COUNTIF('Test_Record'!$F$2:$F$481,"&lt;&gt;"),0)</x:f>
        <x:v>0</x:v>
      </x:c>
      <x:c r="G5" s="49" t="str">
        <x:v>Overall Classification Accuracy</x:v>
      </x:c>
      <x:c r="H5" s="63" t="n">
        <x:f>IFERROR((COUNTIFS('Test_Record'!$E$2:$E$481,"Small",'Test_Record'!$F$2:$F$481,"Yes",'Test_Record'!$G$2:$G$481,"Small")+COUNTIFS('Test_Record'!$E$2:$E$481,"Normal",'Test_Record'!$F$2:$F$481,"Yes",'Test_Record'!$G$2:$G$481,"Normal")+COUNTIFS('Test_Record'!$E$2:$E$481,"Large",'Test_Record'!$F$2:$F$481,"Yes",'Test_Record'!$G$2:$G$481,"Large"))/COUNTIF('Test_Record'!$F$2:$F$481,"Yes"),0)</x:f>
        <x:v>0</x:v>
      </x:c>
    </x:row>
    <x:row r="6">
      <x:c r="A6" s="50" t="str">
        <x:v>Total Objects</x:v>
      </x:c>
      <x:c r="B6" s="61" t="n">
        <x:f>COUNTIF('Test_Record'!$F$2:$F$481,"&lt;&gt;")</x:f>
        <x:v>0</x:v>
      </x:c>
      <x:c r="D6" s="50" t="str">
        <x:v>Small Detection Rate</x:v>
      </x:c>
      <x:c r="E6" s="64" t="n">
        <x:f>IFERROR(COUNTIFS('Test_Record'!$E$2:$E$481,"Small",'Test_Record'!$F$2:$F$481,"Yes")/COUNTIFS('Test_Record'!$E$2:$E$481,"Small",'Test_Record'!$F$2:$F$481,"&lt;&gt;"),0)</x:f>
        <x:v>0</x:v>
      </x:c>
      <x:c r="G6" s="50" t="str">
        <x:v>Small Classification Accuracy</x:v>
      </x:c>
      <x:c r="H6" s="64" t="n">
        <x:f>IFERROR(COUNTIFS('Test_Record'!$E$2:$E$481,"Small",'Test_Record'!$F$2:$F$481,"Yes",'Test_Record'!$G$2:$G$481,"Small")/COUNTIFS('Test_Record'!$E$2:$E$481,"Small",'Test_Record'!$F$2:$F$481,"Yes"),0)</x:f>
        <x:v>0</x:v>
      </x:c>
    </x:row>
    <x:row r="7">
      <x:c r="A7" s="50" t="str">
        <x:v>Total Small</x:v>
      </x:c>
      <x:c r="B7" s="61" t="n">
        <x:f>COUNTIFS('Test_Record'!$E$2:$E$481,"Small",'Test_Record'!$F$2:$F$481,"&lt;&gt;")</x:f>
        <x:v>0</x:v>
      </x:c>
      <x:c r="D7" s="50" t="str">
        <x:v>Normal Detection Rate</x:v>
      </x:c>
      <x:c r="E7" s="64" t="n">
        <x:f>IFERROR(COUNTIFS('Test_Record'!$E$2:$E$481,"Normal",'Test_Record'!$F$2:$F$481,"Yes")/COUNTIFS('Test_Record'!$E$2:$E$481,"Normal",'Test_Record'!$F$2:$F$481,"&lt;&gt;"),0)</x:f>
        <x:v>0</x:v>
      </x:c>
      <x:c r="G7" s="50" t="str">
        <x:v>Normal Classification Accuracy</x:v>
      </x:c>
      <x:c r="H7" s="64" t="n">
        <x:f>IFERROR(COUNTIFS('Test_Record'!$E$2:$E$481,"Normal",'Test_Record'!$F$2:$F$481,"Yes",'Test_Record'!$G$2:$G$481,"Normal")/COUNTIFS('Test_Record'!$E$2:$E$481,"Normal",'Test_Record'!$F$2:$F$481,"Yes"),0)</x:f>
        <x:v>0</x:v>
      </x:c>
    </x:row>
    <x:row r="8">
      <x:c r="A8" s="50" t="str">
        <x:v>Total Normal</x:v>
      </x:c>
      <x:c r="B8" s="61" t="n">
        <x:f>COUNTIFS('Test_Record'!$E$2:$E$481,"Normal",'Test_Record'!$F$2:$F$481,"&lt;&gt;")</x:f>
        <x:v>0</x:v>
      </x:c>
      <x:c r="D8" s="51" t="str">
        <x:v>Large Detection Rate</x:v>
      </x:c>
      <x:c r="E8" s="65" t="n">
        <x:f>IFERROR(COUNTIFS('Test_Record'!$E$2:$E$481,"Large",'Test_Record'!$F$2:$F$481,"Yes")/COUNTIFS('Test_Record'!$E$2:$E$481,"Large",'Test_Record'!$F$2:$F$481,"&lt;&gt;"),0)</x:f>
        <x:v>0</x:v>
      </x:c>
      <x:c r="G8" s="51" t="str">
        <x:v>Large Classification Accuracy</x:v>
      </x:c>
      <x:c r="H8" s="65" t="n">
        <x:f>IFERROR(COUNTIFS('Test_Record'!$E$2:$E$481,"Large",'Test_Record'!$F$2:$F$481,"Yes",'Test_Record'!$G$2:$G$481,"Large")/COUNTIFS('Test_Record'!$E$2:$E$481,"Large",'Test_Record'!$F$2:$F$481,"Yes"),0)</x:f>
        <x:v>0</x:v>
      </x:c>
    </x:row>
    <x:row r="9">
      <x:c r="A9" s="50" t="str">
        <x:v>Total Large</x:v>
      </x:c>
      <x:c r="B9" s="61" t="n">
        <x:f>COUNTIFS('Test_Record'!$E$2:$E$481,"Large",'Test_Record'!$F$2:$F$481,"&lt;&gt;")</x:f>
        <x:v>0</x:v>
      </x:c>
    </x:row>
    <x:row r="10">
      <x:c r="A10" s="51" t="str">
        <x:v>Total Pick Targets</x:v>
      </x:c>
      <x:c r="B10" s="62" t="n">
        <x:f>COUNTIFS('Test_Record'!$E$2:$E$481,"&lt;&gt;Small",'Test_Record'!$F$2:$F$481,"&lt;&gt;")</x:f>
        <x:v>0</x:v>
      </x:c>
    </x:row>
    <x:row r="13" ht="24" customHeight="1">
      <x:c r="A13" s="46" t="str">
        <x:v>Small Object Handling</x:v>
      </x:c>
      <x:c r="B13" s="46" t="str">
        <x:v>Small Object Handling</x:v>
      </x:c>
      <x:c r="D13" s="46" t="str">
        <x:v>Grasp</x:v>
      </x:c>
      <x:c r="E13" s="46" t="str">
        <x:v>Grasp</x:v>
      </x:c>
      <x:c r="G13" s="46" t="str">
        <x:v>Transfer &amp; Placement</x:v>
      </x:c>
      <x:c r="H13" s="46" t="str">
        <x:v>Transfer &amp; Placement</x:v>
      </x:c>
    </x:row>
    <x:row r="14">
      <x:c r="A14" s="49" t="str">
        <x:v>Small Correct Skip Count</x:v>
      </x:c>
      <x:c r="B14" s="60" t="n">
        <x:f>COUNTIFS('Test_Record'!$E$2:$E$481,"Small",'Test_Record'!$O$2:$O$481,"Yes")</x:f>
        <x:v>0</x:v>
      </x:c>
      <x:c r="D14" s="49" t="str">
        <x:v>Normal First-Grasp Success Rate</x:v>
      </x:c>
      <x:c r="E14" s="63" t="n">
        <x:f>IFERROR(COUNTIFS('Test_Record'!$E$2:$E$481,"Normal",'Test_Record'!$H$2:$H$481,"Pick",'Test_Record'!$J$2:$J$481,"Yes")/COUNTIFS('Test_Record'!$E$2:$E$481,"Normal",'Test_Record'!$H$2:$H$481,"Pick"),0)</x:f>
        <x:v>0</x:v>
      </x:c>
      <x:c r="G14" s="49" t="str">
        <x:v>Transfer Drop Count</x:v>
      </x:c>
      <x:c r="H14" s="60" t="n">
        <x:f>COUNTIFS('Test_Record'!$E$2:$E$481,"&lt;&gt;Small",'Test_Record'!$H$2:$H$481,"Pick",'Test_Record'!$L$2:$L$481,"Yes")</x:f>
        <x:v>0</x:v>
      </x:c>
    </x:row>
    <x:row r="15">
      <x:c r="A15" s="50" t="str">
        <x:v>Small Incorrect Pick Count</x:v>
      </x:c>
      <x:c r="B15" s="61" t="n">
        <x:f>COUNTIFS('Test_Record'!$E$2:$E$481,"Small",'Test_Record'!$H$2:$H$481,"Pick")</x:f>
        <x:v>0</x:v>
      </x:c>
      <x:c r="D15" s="50" t="str">
        <x:v>Normal Final-Grasp Success Rate</x:v>
      </x:c>
      <x:c r="E15" s="64" t="n">
        <x:f>IFERROR(COUNTIFS('Test_Record'!$E$2:$E$481,"Normal",'Test_Record'!$H$2:$H$481,"Pick",'Test_Record'!$K$2:$K$481,"Yes")/COUNTIFS('Test_Record'!$E$2:$E$481,"Normal",'Test_Record'!$H$2:$H$481,"Pick"),0)</x:f>
        <x:v>0</x:v>
      </x:c>
      <x:c r="G15" s="50" t="str">
        <x:v>Transfer Drop Rate</x:v>
      </x:c>
      <x:c r="H15" s="64" t="n">
        <x:f>IFERROR(H14/COUNTIFS('Test_Record'!$E$2:$E$481,"&lt;&gt;Small",'Test_Record'!$H$2:$H$481,"Pick"),0)</x:f>
        <x:v>0</x:v>
      </x:c>
    </x:row>
    <x:row r="16">
      <x:c r="A16" s="51" t="str">
        <x:v>Small Skip Accuracy</x:v>
      </x:c>
      <x:c r="B16" s="65" t="n">
        <x:f>IFERROR(B14/COUNTIFS('Test_Record'!$E$2:$E$481,"Small",'Test_Record'!$O$2:$O$481,"&lt;&gt;"),0)</x:f>
        <x:v>0</x:v>
      </x:c>
      <x:c r="D16" s="50" t="str">
        <x:v>Normal Average Pick Attempts</x:v>
      </x:c>
      <x:c r="E16" s="66" t="n">
        <x:f>IFERROR(AVERAGEIFS('Test_Record'!$I$2:$I$481,'Test_Record'!$E$2:$E$481,"Normal",'Test_Record'!$H$2:$H$481,"Pick"),0)</x:f>
        <x:v>0</x:v>
      </x:c>
      <x:c r="G16" s="50" t="str">
        <x:v>Normal Placement Success Rate</x:v>
      </x:c>
      <x:c r="H16" s="64" t="n">
        <x:f>IFERROR(COUNTIFS('Test_Record'!$E$2:$E$481,"Normal",'Test_Record'!$H$2:$H$481,"Pick",'Test_Record'!$N$2:$N$481,"Yes")/COUNTIFS('Test_Record'!$E$2:$E$481,"Normal",'Test_Record'!$H$2:$H$481,"Pick"),0)</x:f>
        <x:v>0</x:v>
      </x:c>
    </x:row>
    <x:row r="17">
      <x:c r="D17" s="50" t="str">
        <x:v>Large First-Grasp Success Rate</x:v>
      </x:c>
      <x:c r="E17" s="64" t="n">
        <x:f>IFERROR(COUNTIFS('Test_Record'!$E$2:$E$481,"Large",'Test_Record'!$H$2:$H$481,"Pick",'Test_Record'!$J$2:$J$481,"Yes")/COUNTIFS('Test_Record'!$E$2:$E$481,"Large",'Test_Record'!$H$2:$H$481,"Pick"),0)</x:f>
        <x:v>0</x:v>
      </x:c>
      <x:c r="G17" s="50" t="str">
        <x:v>Large Placement Success Rate</x:v>
      </x:c>
      <x:c r="H17" s="64" t="n">
        <x:f>IFERROR(COUNTIFS('Test_Record'!$E$2:$E$481,"Large",'Test_Record'!$H$2:$H$481,"Pick",'Test_Record'!$N$2:$N$481,"Yes")/COUNTIFS('Test_Record'!$E$2:$E$481,"Large",'Test_Record'!$H$2:$H$481,"Pick"),0)</x:f>
        <x:v>0</x:v>
      </x:c>
    </x:row>
    <x:row r="18">
      <x:c r="D18" s="50" t="str">
        <x:v>Large Final-Grasp Success Rate</x:v>
      </x:c>
      <x:c r="E18" s="64" t="n">
        <x:f>IFERROR(COUNTIFS('Test_Record'!$E$2:$E$481,"Large",'Test_Record'!$H$2:$H$481,"Pick",'Test_Record'!$K$2:$K$481,"Yes")/COUNTIFS('Test_Record'!$E$2:$E$481,"Large",'Test_Record'!$H$2:$H$481,"Pick"),0)</x:f>
        <x:v>0</x:v>
      </x:c>
      <x:c r="G18" s="50" t="str">
        <x:v>Overall Placement Success Rate</x:v>
      </x:c>
      <x:c r="H18" s="64" t="n">
        <x:f>IFERROR(COUNTIFS('Test_Record'!$E$2:$E$481,"&lt;&gt;Small",'Test_Record'!$H$2:$H$481,"Pick",'Test_Record'!$N$2:$N$481,"Yes")/COUNTIFS('Test_Record'!$E$2:$E$481,"&lt;&gt;Small",'Test_Record'!$H$2:$H$481,"Pick"),0)</x:f>
        <x:v>0</x:v>
      </x:c>
    </x:row>
    <x:row r="19">
      <x:c r="D19" s="50" t="str">
        <x:v>Large Average Pick Attempts</x:v>
      </x:c>
      <x:c r="E19" s="66" t="n">
        <x:f>IFERROR(AVERAGEIFS('Test_Record'!$I$2:$I$481,'Test_Record'!$E$2:$E$481,"Large",'Test_Record'!$H$2:$H$481,"Pick"),0)</x:f>
        <x:v>0</x:v>
      </x:c>
      <x:c r="G19" s="50" t="str">
        <x:v>Wrong Bin Count</x:v>
      </x:c>
      <x:c r="H19" s="61" t="n">
        <x:f>COUNTIFS('Test_Record'!$E$2:$E$481,"Normal",'Test_Record'!$M$2:$M$481,"Large_Bin")+COUNTIFS('Test_Record'!$E$2:$E$481,"Large",'Test_Record'!$M$2:$M$481,"Normal_Bin")</x:f>
        <x:v>0</x:v>
      </x:c>
    </x:row>
    <x:row r="20">
      <x:c r="D20" s="50" t="str">
        <x:v>Overall First-Grasp Success Rate</x:v>
      </x:c>
      <x:c r="E20" s="64" t="n">
        <x:f>IFERROR(COUNTIFS('Test_Record'!$E$2:$E$481,"&lt;&gt;Small",'Test_Record'!$H$2:$H$481,"Pick",'Test_Record'!$J$2:$J$481,"Yes")/COUNTIFS('Test_Record'!$E$2:$E$481,"&lt;&gt;Small",'Test_Record'!$H$2:$H$481,"Pick"),0)</x:f>
        <x:v>0</x:v>
      </x:c>
      <x:c r="G20" s="51" t="str">
        <x:v>Actual Pick Tasks</x:v>
      </x:c>
      <x:c r="H20" s="62" t="n">
        <x:f>COUNTIFS('Test_Record'!$E$2:$E$481,"&lt;&gt;Small",'Test_Record'!$H$2:$H$481,"Pick")</x:f>
        <x:v>0</x:v>
      </x:c>
    </x:row>
    <x:row r="21">
      <x:c r="D21" s="51" t="str">
        <x:v>Overall Final-Grasp Success Rate</x:v>
      </x:c>
      <x:c r="E21" s="65" t="n">
        <x:f>IFERROR(COUNTIFS('Test_Record'!$E$2:$E$481,"&lt;&gt;Small",'Test_Record'!$H$2:$H$481,"Pick",'Test_Record'!$K$2:$K$481,"Yes")/COUNTIFS('Test_Record'!$E$2:$E$481,"&lt;&gt;Small",'Test_Record'!$H$2:$H$481,"Pick"),0)</x:f>
        <x:v>0</x:v>
      </x:c>
    </x:row>
    <x:row r="24" ht="24" customHeight="1">
      <x:c r="A24" s="46" t="str">
        <x:v>End-to-End</x:v>
      </x:c>
      <x:c r="B24" s="46" t="str">
        <x:v>End-to-End</x:v>
      </x:c>
      <x:c r="D24" s="46" t="str">
        <x:v>Regional Performance</x:v>
      </x:c>
      <x:c r="E24" s="46" t="str">
        <x:v>Regional Performance</x:v>
      </x:c>
      <x:c r="F24" s="46" t="str">
        <x:v>Regional Performance</x:v>
      </x:c>
    </x:row>
    <x:row r="25">
      <x:c r="A25" s="49" t="str">
        <x:v>Small Task Success Rate</x:v>
      </x:c>
      <x:c r="B25" s="63" t="n">
        <x:f>IFERROR(COUNTIFS('Test_Record'!$E$2:$E$481,"Small",'Test_Record'!$O$2:$O$481,"Yes")/COUNTIFS('Test_Record'!$E$2:$E$481,"Small",'Test_Record'!$O$2:$O$481,"&lt;&gt;"),0)</x:f>
        <x:v>0</x:v>
      </x:c>
      <x:c r="D25" s="71" t="str">
        <x:v>Region</x:v>
      </x:c>
      <x:c r="E25" s="71" t="str">
        <x:v>End-to-End Success Rate</x:v>
      </x:c>
      <x:c r="F25" s="71" t="str">
        <x:v>Final Grasp Success Rate</x:v>
      </x:c>
    </x:row>
    <x:row r="26">
      <x:c r="A26" s="50" t="str">
        <x:v>Normal Task Success Rate</x:v>
      </x:c>
      <x:c r="B26" s="64" t="n">
        <x:f>IFERROR(COUNTIFS('Test_Record'!$E$2:$E$481,"Normal",'Test_Record'!$O$2:$O$481,"Yes")/COUNTIFS('Test_Record'!$E$2:$E$481,"Normal",'Test_Record'!$O$2:$O$481,"&lt;&gt;"),0)</x:f>
        <x:v>0</x:v>
      </x:c>
      <x:c r="D26" s="72" t="str">
        <x:v>A</x:v>
      </x:c>
      <x:c r="E26" s="73" t="n">
        <x:f>IFERROR(COUNTIFS('Test_Record'!$B$2:$B$481,D26,'Test_Record'!$O$2:$O$481,"Yes")/COUNTIFS('Test_Record'!$B$2:$B$481,D26,'Test_Record'!$O$2:$O$481,"&lt;&gt;"),0)</x:f>
        <x:v>0</x:v>
      </x:c>
      <x:c r="F26" s="73" t="n">
        <x:f>IFERROR(COUNTIFS('Test_Record'!$B$2:$B$481,D26,'Test_Record'!$E$2:$E$481,"&lt;&gt;Small",'Test_Record'!$H$2:$H$481,"Pick",'Test_Record'!$K$2:$K$481,"Yes")/COUNTIFS('Test_Record'!$B$2:$B$481,D26,'Test_Record'!$E$2:$E$481,"&lt;&gt;Small",'Test_Record'!$H$2:$H$481,"Pick"),0)</x:f>
        <x:v>0</x:v>
      </x:c>
    </x:row>
    <x:row r="27">
      <x:c r="A27" s="50" t="str">
        <x:v>Large Task Success Rate</x:v>
      </x:c>
      <x:c r="B27" s="64" t="n">
        <x:f>IFERROR(COUNTIFS('Test_Record'!$E$2:$E$481,"Large",'Test_Record'!$O$2:$O$481,"Yes")/COUNTIFS('Test_Record'!$E$2:$E$481,"Large",'Test_Record'!$O$2:$O$481,"&lt;&gt;"),0)</x:f>
        <x:v>0</x:v>
      </x:c>
      <x:c r="D27" s="72" t="str">
        <x:v>B</x:v>
      </x:c>
      <x:c r="E27" s="73" t="n">
        <x:f>IFERROR(COUNTIFS('Test_Record'!$B$2:$B$481,D27,'Test_Record'!$O$2:$O$481,"Yes")/COUNTIFS('Test_Record'!$B$2:$B$481,D27,'Test_Record'!$O$2:$O$481,"&lt;&gt;"),0)</x:f>
        <x:v>0</x:v>
      </x:c>
      <x:c r="F27" s="73" t="n">
        <x:f>IFERROR(COUNTIFS('Test_Record'!$B$2:$B$481,D27,'Test_Record'!$E$2:$E$481,"&lt;&gt;Small",'Test_Record'!$H$2:$H$481,"Pick",'Test_Record'!$K$2:$K$481,"Yes")/COUNTIFS('Test_Record'!$B$2:$B$481,D27,'Test_Record'!$E$2:$E$481,"&lt;&gt;Small",'Test_Record'!$H$2:$H$481,"Pick"),0)</x:f>
        <x:v>0</x:v>
      </x:c>
    </x:row>
    <x:row r="28">
      <x:c r="A28" s="51" t="str">
        <x:v>Overall End-to-End Task Success Rate</x:v>
      </x:c>
      <x:c r="B28" s="65" t="n">
        <x:f>IFERROR(COUNTIF('Test_Record'!$O$2:$O$481,"Yes")/COUNTIF('Test_Record'!$O$2:$O$481,"&lt;&gt;"),0)</x:f>
        <x:v>0</x:v>
      </x:c>
      <x:c r="D28" s="72" t="str">
        <x:v>C</x:v>
      </x:c>
      <x:c r="E28" s="73" t="n">
        <x:f>IFERROR(COUNTIFS('Test_Record'!$B$2:$B$481,D28,'Test_Record'!$O$2:$O$481,"Yes")/COUNTIFS('Test_Record'!$B$2:$B$481,D28,'Test_Record'!$O$2:$O$481,"&lt;&gt;"),0)</x:f>
        <x:v>0</x:v>
      </x:c>
      <x:c r="F28" s="73" t="n">
        <x:f>IFERROR(COUNTIFS('Test_Record'!$B$2:$B$481,D28,'Test_Record'!$E$2:$E$481,"&lt;&gt;Small",'Test_Record'!$H$2:$H$481,"Pick",'Test_Record'!$K$2:$K$481,"Yes")/COUNTIFS('Test_Record'!$B$2:$B$481,D28,'Test_Record'!$E$2:$E$481,"&lt;&gt;Small",'Test_Record'!$H$2:$H$481,"Pick"),0)</x:f>
        <x:v>0</x:v>
      </x:c>
    </x:row>
    <x:row r="29">
      <x:c r="D29" s="72" t="str">
        <x:v>D</x:v>
      </x:c>
      <x:c r="E29" s="73" t="n">
        <x:f>IFERROR(COUNTIFS('Test_Record'!$B$2:$B$481,D29,'Test_Record'!$O$2:$O$481,"Yes")/COUNTIFS('Test_Record'!$B$2:$B$481,D29,'Test_Record'!$O$2:$O$481,"&lt;&gt;"),0)</x:f>
        <x:v>0</x:v>
      </x:c>
      <x:c r="F29" s="73" t="n">
        <x:f>IFERROR(COUNTIFS('Test_Record'!$B$2:$B$481,D29,'Test_Record'!$E$2:$E$481,"&lt;&gt;Small",'Test_Record'!$H$2:$H$481,"Pick",'Test_Record'!$K$2:$K$481,"Yes")/COUNTIFS('Test_Record'!$B$2:$B$481,D29,'Test_Record'!$E$2:$E$481,"&lt;&gt;Small",'Test_Record'!$H$2:$H$481,"Pick"),0)</x:f>
        <x:v>0</x:v>
      </x:c>
    </x:row>
    <x:row r="32" ht="24" customHeight="1">
      <x:c r="D32" s="46" t="str">
        <x:v>Normal vs Large Grasp Success</x:v>
      </x:c>
      <x:c r="E32" s="46" t="str">
        <x:v>Normal vs Large Grasp Success</x:v>
      </x:c>
      <x:c r="F32" s="46" t="str">
        <x:v>Normal vs Large Grasp Success</x:v>
      </x:c>
    </x:row>
    <x:row r="33">
      <x:c r="D33" s="71" t="str">
        <x:v>Size</x:v>
      </x:c>
      <x:c r="E33" s="71" t="str">
        <x:v>First-Grasp Success Rate</x:v>
      </x:c>
      <x:c r="F33" s="71" t="str">
        <x:v>Final-Grasp Success Rate</x:v>
      </x:c>
    </x:row>
    <x:row r="34">
      <x:c r="D34" s="72" t="str">
        <x:v>Normal</x:v>
      </x:c>
      <x:c r="E34" s="73" t="n">
        <x:f>E14</x:f>
        <x:v>0</x:v>
      </x:c>
      <x:c r="F34" s="73" t="n">
        <x:f>E15</x:f>
        <x:v>0</x:v>
      </x:c>
    </x:row>
    <x:row r="35">
      <x:c r="D35" s="72" t="str">
        <x:v>Large</x:v>
      </x:c>
      <x:c r="E35" s="73" t="n">
        <x:f>E17</x:f>
        <x:v>0</x:v>
      </x:c>
      <x:c r="F35" s="73" t="n">
        <x:f>E18</x:f>
        <x:v>0</x:v>
      </x:c>
    </x:row>
  </x:sheetData>
  <x:mergeCells>
    <x:mergeCell ref="A1:R2"/>
    <x:mergeCell ref="A4:B4"/>
    <x:mergeCell ref="D4:E4"/>
    <x:mergeCell ref="G4:H4"/>
    <x:mergeCell ref="A13:B13"/>
    <x:mergeCell ref="D13:E13"/>
    <x:mergeCell ref="G13:H13"/>
    <x:mergeCell ref="A24:B24"/>
    <x:mergeCell ref="D24:F24"/>
    <x:mergeCell ref="D32:F32"/>
  </x:mergeCells>
  <x:pageMargins left="0.7" right="0.7" top="0.75" bottom="0.75" header="0.3" footer="0.3"/>
  <x:drawing xmlns:r="http://schemas.openxmlformats.org/officeDocument/2006/relationships" r:id="Ra19410b2bf14482d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2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28" t="str">
        <x:v>Failure_Code</x:v>
      </x:c>
      <x:c r="B1" s="29" t="str">
        <x:v>Failure Count</x:v>
      </x:c>
      <x:c r="C1" s="29" t="str">
        <x:v>Percentage of All Failures</x:v>
      </x:c>
      <x:c r="D1" s="29" t="str">
        <x:v>Small Count</x:v>
      </x:c>
      <x:c r="E1" s="29" t="str">
        <x:v>Normal Count</x:v>
      </x:c>
      <x:c r="F1" s="29" t="str">
        <x:v>Large Count</x:v>
      </x:c>
      <x:c r="G1" s="29" t="str">
        <x:v>Region A</x:v>
      </x:c>
      <x:c r="H1" s="29" t="str">
        <x:v>Region B</x:v>
      </x:c>
      <x:c r="I1" s="29" t="str">
        <x:v>Region C</x:v>
      </x:c>
      <x:c r="J1" s="30" t="str">
        <x:v>Region D</x:v>
      </x:c>
    </x:row>
    <x:row r="2">
      <x:c r="A2" s="11" t="str">
        <x:v>DETECTION</x:v>
      </x:c>
      <x:c r="B2" s="14" t="n">
        <x:f>COUNTIF('Test_Record'!$P$2:$P$481,A2)</x:f>
        <x:v>0</x:v>
      </x:c>
      <x:c r="C2" s="79" t="n">
        <x:f>IFERROR(B2/COUNTIFS('Test_Record'!$P$2:$P$481,"&lt;&gt;NONE",'Test_Record'!$P$2:$P$481,"&lt;&gt;"),0)</x:f>
        <x:v>0</x:v>
      </x:c>
      <x:c r="D2" s="14" t="n">
        <x:f>COUNTIFS('Test_Record'!$P$2:$P$481,$A2,'Test_Record'!$E$2:$E$481,"Small")</x:f>
        <x:v>0</x:v>
      </x:c>
      <x:c r="E2" s="14" t="n">
        <x:f>COUNTIFS('Test_Record'!$P$2:$P$481,$A2,'Test_Record'!$E$2:$E$481,"Normal")</x:f>
        <x:v>0</x:v>
      </x:c>
      <x:c r="F2" s="14" t="n">
        <x:f>COUNTIFS('Test_Record'!$P$2:$P$481,$A2,'Test_Record'!$E$2:$E$481,"Large")</x:f>
        <x:v>0</x:v>
      </x:c>
      <x:c r="G2" s="14" t="n">
        <x:f>COUNTIFS('Test_Record'!$P$2:$P$481,$A2,'Test_Record'!$B$2:$B$481,"A")</x:f>
        <x:v>0</x:v>
      </x:c>
      <x:c r="H2" s="14" t="n">
        <x:f>COUNTIFS('Test_Record'!$P$2:$P$481,$A2,'Test_Record'!$B$2:$B$481,"B")</x:f>
        <x:v>0</x:v>
      </x:c>
      <x:c r="I2" s="14" t="n">
        <x:f>COUNTIFS('Test_Record'!$P$2:$P$481,$A2,'Test_Record'!$B$2:$B$481,"C")</x:f>
        <x:v>0</x:v>
      </x:c>
      <x:c r="J2" s="14" t="n">
        <x:f>COUNTIFS('Test_Record'!$P$2:$P$481,$A2,'Test_Record'!$B$2:$B$481,"D")</x:f>
        <x:v>0</x:v>
      </x:c>
    </x:row>
    <x:row r="3">
      <x:c r="A3" s="11" t="str">
        <x:v>SIZE_CLASS</x:v>
      </x:c>
      <x:c r="B3" s="14" t="n">
        <x:f>COUNTIF('Test_Record'!$P$2:$P$481,A3)</x:f>
        <x:v>0</x:v>
      </x:c>
      <x:c r="C3" s="79" t="n">
        <x:f>IFERROR(B3/COUNTIFS('Test_Record'!$P$2:$P$481,"&lt;&gt;NONE",'Test_Record'!$P$2:$P$481,"&lt;&gt;"),0)</x:f>
        <x:v>0</x:v>
      </x:c>
      <x:c r="D3" s="14" t="n">
        <x:f>COUNTIFS('Test_Record'!$P$2:$P$481,$A3,'Test_Record'!$E$2:$E$481,"Small")</x:f>
        <x:v>0</x:v>
      </x:c>
      <x:c r="E3" s="14" t="n">
        <x:f>COUNTIFS('Test_Record'!$P$2:$P$481,$A3,'Test_Record'!$E$2:$E$481,"Normal")</x:f>
        <x:v>0</x:v>
      </x:c>
      <x:c r="F3" s="14" t="n">
        <x:f>COUNTIFS('Test_Record'!$P$2:$P$481,$A3,'Test_Record'!$E$2:$E$481,"Large")</x:f>
        <x:v>0</x:v>
      </x:c>
      <x:c r="G3" s="14" t="n">
        <x:f>COUNTIFS('Test_Record'!$P$2:$P$481,$A3,'Test_Record'!$B$2:$B$481,"A")</x:f>
        <x:v>0</x:v>
      </x:c>
      <x:c r="H3" s="14" t="n">
        <x:f>COUNTIFS('Test_Record'!$P$2:$P$481,$A3,'Test_Record'!$B$2:$B$481,"B")</x:f>
        <x:v>0</x:v>
      </x:c>
      <x:c r="I3" s="14" t="n">
        <x:f>COUNTIFS('Test_Record'!$P$2:$P$481,$A3,'Test_Record'!$B$2:$B$481,"C")</x:f>
        <x:v>0</x:v>
      </x:c>
      <x:c r="J3" s="14" t="n">
        <x:f>COUNTIFS('Test_Record'!$P$2:$P$481,$A3,'Test_Record'!$B$2:$B$481,"D")</x:f>
        <x:v>0</x:v>
      </x:c>
    </x:row>
    <x:row r="4">
      <x:c r="A4" s="11" t="str">
        <x:v>WRONG_SKIP</x:v>
      </x:c>
      <x:c r="B4" s="14" t="n">
        <x:f>COUNTIF('Test_Record'!$P$2:$P$481,A4)</x:f>
        <x:v>0</x:v>
      </x:c>
      <x:c r="C4" s="79" t="n">
        <x:f>IFERROR(B4/COUNTIFS('Test_Record'!$P$2:$P$481,"&lt;&gt;NONE",'Test_Record'!$P$2:$P$481,"&lt;&gt;"),0)</x:f>
        <x:v>0</x:v>
      </x:c>
      <x:c r="D4" s="14" t="n">
        <x:f>COUNTIFS('Test_Record'!$P$2:$P$481,$A4,'Test_Record'!$E$2:$E$481,"Small")</x:f>
        <x:v>0</x:v>
      </x:c>
      <x:c r="E4" s="14" t="n">
        <x:f>COUNTIFS('Test_Record'!$P$2:$P$481,$A4,'Test_Record'!$E$2:$E$481,"Normal")</x:f>
        <x:v>0</x:v>
      </x:c>
      <x:c r="F4" s="14" t="n">
        <x:f>COUNTIFS('Test_Record'!$P$2:$P$481,$A4,'Test_Record'!$E$2:$E$481,"Large")</x:f>
        <x:v>0</x:v>
      </x:c>
      <x:c r="G4" s="14" t="n">
        <x:f>COUNTIFS('Test_Record'!$P$2:$P$481,$A4,'Test_Record'!$B$2:$B$481,"A")</x:f>
        <x:v>0</x:v>
      </x:c>
      <x:c r="H4" s="14" t="n">
        <x:f>COUNTIFS('Test_Record'!$P$2:$P$481,$A4,'Test_Record'!$B$2:$B$481,"B")</x:f>
        <x:v>0</x:v>
      </x:c>
      <x:c r="I4" s="14" t="n">
        <x:f>COUNTIFS('Test_Record'!$P$2:$P$481,$A4,'Test_Record'!$B$2:$B$481,"C")</x:f>
        <x:v>0</x:v>
      </x:c>
      <x:c r="J4" s="14" t="n">
        <x:f>COUNTIFS('Test_Record'!$P$2:$P$481,$A4,'Test_Record'!$B$2:$B$481,"D")</x:f>
        <x:v>0</x:v>
      </x:c>
    </x:row>
    <x:row r="5">
      <x:c r="A5" s="11" t="str">
        <x:v>WRONG_PICK</x:v>
      </x:c>
      <x:c r="B5" s="14" t="n">
        <x:f>COUNTIF('Test_Record'!$P$2:$P$481,A5)</x:f>
        <x:v>0</x:v>
      </x:c>
      <x:c r="C5" s="79" t="n">
        <x:f>IFERROR(B5/COUNTIFS('Test_Record'!$P$2:$P$481,"&lt;&gt;NONE",'Test_Record'!$P$2:$P$481,"&lt;&gt;"),0)</x:f>
        <x:v>0</x:v>
      </x:c>
      <x:c r="D5" s="14" t="n">
        <x:f>COUNTIFS('Test_Record'!$P$2:$P$481,$A5,'Test_Record'!$E$2:$E$481,"Small")</x:f>
        <x:v>0</x:v>
      </x:c>
      <x:c r="E5" s="14" t="n">
        <x:f>COUNTIFS('Test_Record'!$P$2:$P$481,$A5,'Test_Record'!$E$2:$E$481,"Normal")</x:f>
        <x:v>0</x:v>
      </x:c>
      <x:c r="F5" s="14" t="n">
        <x:f>COUNTIFS('Test_Record'!$P$2:$P$481,$A5,'Test_Record'!$E$2:$E$481,"Large")</x:f>
        <x:v>0</x:v>
      </x:c>
      <x:c r="G5" s="14" t="n">
        <x:f>COUNTIFS('Test_Record'!$P$2:$P$481,$A5,'Test_Record'!$B$2:$B$481,"A")</x:f>
        <x:v>0</x:v>
      </x:c>
      <x:c r="H5" s="14" t="n">
        <x:f>COUNTIFS('Test_Record'!$P$2:$P$481,$A5,'Test_Record'!$B$2:$B$481,"B")</x:f>
        <x:v>0</x:v>
      </x:c>
      <x:c r="I5" s="14" t="n">
        <x:f>COUNTIFS('Test_Record'!$P$2:$P$481,$A5,'Test_Record'!$B$2:$B$481,"C")</x:f>
        <x:v>0</x:v>
      </x:c>
      <x:c r="J5" s="14" t="n">
        <x:f>COUNTIFS('Test_Record'!$P$2:$P$481,$A5,'Test_Record'!$B$2:$B$481,"D")</x:f>
        <x:v>0</x:v>
      </x:c>
    </x:row>
    <x:row r="6">
      <x:c r="A6" s="11" t="str">
        <x:v>PLAN</x:v>
      </x:c>
      <x:c r="B6" s="14" t="n">
        <x:f>COUNTIF('Test_Record'!$P$2:$P$481,A6)</x:f>
        <x:v>0</x:v>
      </x:c>
      <x:c r="C6" s="79" t="n">
        <x:f>IFERROR(B6/COUNTIFS('Test_Record'!$P$2:$P$481,"&lt;&gt;NONE",'Test_Record'!$P$2:$P$481,"&lt;&gt;"),0)</x:f>
        <x:v>0</x:v>
      </x:c>
      <x:c r="D6" s="14" t="n">
        <x:f>COUNTIFS('Test_Record'!$P$2:$P$481,$A6,'Test_Record'!$E$2:$E$481,"Small")</x:f>
        <x:v>0</x:v>
      </x:c>
      <x:c r="E6" s="14" t="n">
        <x:f>COUNTIFS('Test_Record'!$P$2:$P$481,$A6,'Test_Record'!$E$2:$E$481,"Normal")</x:f>
        <x:v>0</x:v>
      </x:c>
      <x:c r="F6" s="14" t="n">
        <x:f>COUNTIFS('Test_Record'!$P$2:$P$481,$A6,'Test_Record'!$E$2:$E$481,"Large")</x:f>
        <x:v>0</x:v>
      </x:c>
      <x:c r="G6" s="14" t="n">
        <x:f>COUNTIFS('Test_Record'!$P$2:$P$481,$A6,'Test_Record'!$B$2:$B$481,"A")</x:f>
        <x:v>0</x:v>
      </x:c>
      <x:c r="H6" s="14" t="n">
        <x:f>COUNTIFS('Test_Record'!$P$2:$P$481,$A6,'Test_Record'!$B$2:$B$481,"B")</x:f>
        <x:v>0</x:v>
      </x:c>
      <x:c r="I6" s="14" t="n">
        <x:f>COUNTIFS('Test_Record'!$P$2:$P$481,$A6,'Test_Record'!$B$2:$B$481,"C")</x:f>
        <x:v>0</x:v>
      </x:c>
      <x:c r="J6" s="14" t="n">
        <x:f>COUNTIFS('Test_Record'!$P$2:$P$481,$A6,'Test_Record'!$B$2:$B$481,"D")</x:f>
        <x:v>0</x:v>
      </x:c>
    </x:row>
    <x:row r="7">
      <x:c r="A7" s="11" t="str">
        <x:v>POSITION</x:v>
      </x:c>
      <x:c r="B7" s="14" t="n">
        <x:f>COUNTIF('Test_Record'!$P$2:$P$481,A7)</x:f>
        <x:v>0</x:v>
      </x:c>
      <x:c r="C7" s="79" t="n">
        <x:f>IFERROR(B7/COUNTIFS('Test_Record'!$P$2:$P$481,"&lt;&gt;NONE",'Test_Record'!$P$2:$P$481,"&lt;&gt;"),0)</x:f>
        <x:v>0</x:v>
      </x:c>
      <x:c r="D7" s="14" t="n">
        <x:f>COUNTIFS('Test_Record'!$P$2:$P$481,$A7,'Test_Record'!$E$2:$E$481,"Small")</x:f>
        <x:v>0</x:v>
      </x:c>
      <x:c r="E7" s="14" t="n">
        <x:f>COUNTIFS('Test_Record'!$P$2:$P$481,$A7,'Test_Record'!$E$2:$E$481,"Normal")</x:f>
        <x:v>0</x:v>
      </x:c>
      <x:c r="F7" s="14" t="n">
        <x:f>COUNTIFS('Test_Record'!$P$2:$P$481,$A7,'Test_Record'!$E$2:$E$481,"Large")</x:f>
        <x:v>0</x:v>
      </x:c>
      <x:c r="G7" s="14" t="n">
        <x:f>COUNTIFS('Test_Record'!$P$2:$P$481,$A7,'Test_Record'!$B$2:$B$481,"A")</x:f>
        <x:v>0</x:v>
      </x:c>
      <x:c r="H7" s="14" t="n">
        <x:f>COUNTIFS('Test_Record'!$P$2:$P$481,$A7,'Test_Record'!$B$2:$B$481,"B")</x:f>
        <x:v>0</x:v>
      </x:c>
      <x:c r="I7" s="14" t="n">
        <x:f>COUNTIFS('Test_Record'!$P$2:$P$481,$A7,'Test_Record'!$B$2:$B$481,"C")</x:f>
        <x:v>0</x:v>
      </x:c>
      <x:c r="J7" s="14" t="n">
        <x:f>COUNTIFS('Test_Record'!$P$2:$P$481,$A7,'Test_Record'!$B$2:$B$481,"D")</x:f>
        <x:v>0</x:v>
      </x:c>
    </x:row>
    <x:row r="8">
      <x:c r="A8" s="11" t="str">
        <x:v>GRASP</x:v>
      </x:c>
      <x:c r="B8" s="14" t="n">
        <x:f>COUNTIF('Test_Record'!$P$2:$P$481,A8)</x:f>
        <x:v>0</x:v>
      </x:c>
      <x:c r="C8" s="79" t="n">
        <x:f>IFERROR(B8/COUNTIFS('Test_Record'!$P$2:$P$481,"&lt;&gt;NONE",'Test_Record'!$P$2:$P$481,"&lt;&gt;"),0)</x:f>
        <x:v>0</x:v>
      </x:c>
      <x:c r="D8" s="14" t="n">
        <x:f>COUNTIFS('Test_Record'!$P$2:$P$481,$A8,'Test_Record'!$E$2:$E$481,"Small")</x:f>
        <x:v>0</x:v>
      </x:c>
      <x:c r="E8" s="14" t="n">
        <x:f>COUNTIFS('Test_Record'!$P$2:$P$481,$A8,'Test_Record'!$E$2:$E$481,"Normal")</x:f>
        <x:v>0</x:v>
      </x:c>
      <x:c r="F8" s="14" t="n">
        <x:f>COUNTIFS('Test_Record'!$P$2:$P$481,$A8,'Test_Record'!$E$2:$E$481,"Large")</x:f>
        <x:v>0</x:v>
      </x:c>
      <x:c r="G8" s="14" t="n">
        <x:f>COUNTIFS('Test_Record'!$P$2:$P$481,$A8,'Test_Record'!$B$2:$B$481,"A")</x:f>
        <x:v>0</x:v>
      </x:c>
      <x:c r="H8" s="14" t="n">
        <x:f>COUNTIFS('Test_Record'!$P$2:$P$481,$A8,'Test_Record'!$B$2:$B$481,"B")</x:f>
        <x:v>0</x:v>
      </x:c>
      <x:c r="I8" s="14" t="n">
        <x:f>COUNTIFS('Test_Record'!$P$2:$P$481,$A8,'Test_Record'!$B$2:$B$481,"C")</x:f>
        <x:v>0</x:v>
      </x:c>
      <x:c r="J8" s="14" t="n">
        <x:f>COUNTIFS('Test_Record'!$P$2:$P$481,$A8,'Test_Record'!$B$2:$B$481,"D")</x:f>
        <x:v>0</x:v>
      </x:c>
    </x:row>
    <x:row r="9">
      <x:c r="A9" s="11" t="str">
        <x:v>DROP</x:v>
      </x:c>
      <x:c r="B9" s="14" t="n">
        <x:f>COUNTIF('Test_Record'!$P$2:$P$481,A9)</x:f>
        <x:v>0</x:v>
      </x:c>
      <x:c r="C9" s="79" t="n">
        <x:f>IFERROR(B9/COUNTIFS('Test_Record'!$P$2:$P$481,"&lt;&gt;NONE",'Test_Record'!$P$2:$P$481,"&lt;&gt;"),0)</x:f>
        <x:v>0</x:v>
      </x:c>
      <x:c r="D9" s="14" t="n">
        <x:f>COUNTIFS('Test_Record'!$P$2:$P$481,$A9,'Test_Record'!$E$2:$E$481,"Small")</x:f>
        <x:v>0</x:v>
      </x:c>
      <x:c r="E9" s="14" t="n">
        <x:f>COUNTIFS('Test_Record'!$P$2:$P$481,$A9,'Test_Record'!$E$2:$E$481,"Normal")</x:f>
        <x:v>0</x:v>
      </x:c>
      <x:c r="F9" s="14" t="n">
        <x:f>COUNTIFS('Test_Record'!$P$2:$P$481,$A9,'Test_Record'!$E$2:$E$481,"Large")</x:f>
        <x:v>0</x:v>
      </x:c>
      <x:c r="G9" s="14" t="n">
        <x:f>COUNTIFS('Test_Record'!$P$2:$P$481,$A9,'Test_Record'!$B$2:$B$481,"A")</x:f>
        <x:v>0</x:v>
      </x:c>
      <x:c r="H9" s="14" t="n">
        <x:f>COUNTIFS('Test_Record'!$P$2:$P$481,$A9,'Test_Record'!$B$2:$B$481,"B")</x:f>
        <x:v>0</x:v>
      </x:c>
      <x:c r="I9" s="14" t="n">
        <x:f>COUNTIFS('Test_Record'!$P$2:$P$481,$A9,'Test_Record'!$B$2:$B$481,"C")</x:f>
        <x:v>0</x:v>
      </x:c>
      <x:c r="J9" s="14" t="n">
        <x:f>COUNTIFS('Test_Record'!$P$2:$P$481,$A9,'Test_Record'!$B$2:$B$481,"D")</x:f>
        <x:v>0</x:v>
      </x:c>
    </x:row>
    <x:row r="10">
      <x:c r="A10" s="11" t="str">
        <x:v>PLACE</x:v>
      </x:c>
      <x:c r="B10" s="14" t="n">
        <x:f>COUNTIF('Test_Record'!$P$2:$P$481,A10)</x:f>
        <x:v>0</x:v>
      </x:c>
      <x:c r="C10" s="79" t="n">
        <x:f>IFERROR(B10/COUNTIFS('Test_Record'!$P$2:$P$481,"&lt;&gt;NONE",'Test_Record'!$P$2:$P$481,"&lt;&gt;"),0)</x:f>
        <x:v>0</x:v>
      </x:c>
      <x:c r="D10" s="14" t="n">
        <x:f>COUNTIFS('Test_Record'!$P$2:$P$481,$A10,'Test_Record'!$E$2:$E$481,"Small")</x:f>
        <x:v>0</x:v>
      </x:c>
      <x:c r="E10" s="14" t="n">
        <x:f>COUNTIFS('Test_Record'!$P$2:$P$481,$A10,'Test_Record'!$E$2:$E$481,"Normal")</x:f>
        <x:v>0</x:v>
      </x:c>
      <x:c r="F10" s="14" t="n">
        <x:f>COUNTIFS('Test_Record'!$P$2:$P$481,$A10,'Test_Record'!$E$2:$E$481,"Large")</x:f>
        <x:v>0</x:v>
      </x:c>
      <x:c r="G10" s="14" t="n">
        <x:f>COUNTIFS('Test_Record'!$P$2:$P$481,$A10,'Test_Record'!$B$2:$B$481,"A")</x:f>
        <x:v>0</x:v>
      </x:c>
      <x:c r="H10" s="14" t="n">
        <x:f>COUNTIFS('Test_Record'!$P$2:$P$481,$A10,'Test_Record'!$B$2:$B$481,"B")</x:f>
        <x:v>0</x:v>
      </x:c>
      <x:c r="I10" s="14" t="n">
        <x:f>COUNTIFS('Test_Record'!$P$2:$P$481,$A10,'Test_Record'!$B$2:$B$481,"C")</x:f>
        <x:v>0</x:v>
      </x:c>
      <x:c r="J10" s="14" t="n">
        <x:f>COUNTIFS('Test_Record'!$P$2:$P$481,$A10,'Test_Record'!$B$2:$B$481,"D")</x:f>
        <x:v>0</x:v>
      </x:c>
    </x:row>
    <x:row r="11">
      <x:c r="A11" s="11" t="str">
        <x:v>WRONG_BIN</x:v>
      </x:c>
      <x:c r="B11" s="14" t="n">
        <x:f>COUNTIF('Test_Record'!$P$2:$P$481,A11)</x:f>
        <x:v>0</x:v>
      </x:c>
      <x:c r="C11" s="79" t="n">
        <x:f>IFERROR(B11/COUNTIFS('Test_Record'!$P$2:$P$481,"&lt;&gt;NONE",'Test_Record'!$P$2:$P$481,"&lt;&gt;"),0)</x:f>
        <x:v>0</x:v>
      </x:c>
      <x:c r="D11" s="14" t="n">
        <x:f>COUNTIFS('Test_Record'!$P$2:$P$481,$A11,'Test_Record'!$E$2:$E$481,"Small")</x:f>
        <x:v>0</x:v>
      </x:c>
      <x:c r="E11" s="14" t="n">
        <x:f>COUNTIFS('Test_Record'!$P$2:$P$481,$A11,'Test_Record'!$E$2:$E$481,"Normal")</x:f>
        <x:v>0</x:v>
      </x:c>
      <x:c r="F11" s="14" t="n">
        <x:f>COUNTIFS('Test_Record'!$P$2:$P$481,$A11,'Test_Record'!$E$2:$E$481,"Large")</x:f>
        <x:v>0</x:v>
      </x:c>
      <x:c r="G11" s="14" t="n">
        <x:f>COUNTIFS('Test_Record'!$P$2:$P$481,$A11,'Test_Record'!$B$2:$B$481,"A")</x:f>
        <x:v>0</x:v>
      </x:c>
      <x:c r="H11" s="14" t="n">
        <x:f>COUNTIFS('Test_Record'!$P$2:$P$481,$A11,'Test_Record'!$B$2:$B$481,"B")</x:f>
        <x:v>0</x:v>
      </x:c>
      <x:c r="I11" s="14" t="n">
        <x:f>COUNTIFS('Test_Record'!$P$2:$P$481,$A11,'Test_Record'!$B$2:$B$481,"C")</x:f>
        <x:v>0</x:v>
      </x:c>
      <x:c r="J11" s="14" t="n">
        <x:f>COUNTIFS('Test_Record'!$P$2:$P$481,$A11,'Test_Record'!$B$2:$B$481,"D")</x:f>
        <x:v>0</x:v>
      </x:c>
    </x:row>
    <x:row r="12">
      <x:c r="A12" s="11" t="str">
        <x:v>COLLISION</x:v>
      </x:c>
      <x:c r="B12" s="14" t="n">
        <x:f>COUNTIF('Test_Record'!$P$2:$P$481,A12)</x:f>
        <x:v>0</x:v>
      </x:c>
      <x:c r="C12" s="79" t="n">
        <x:f>IFERROR(B12/COUNTIFS('Test_Record'!$P$2:$P$481,"&lt;&gt;NONE",'Test_Record'!$P$2:$P$481,"&lt;&gt;"),0)</x:f>
        <x:v>0</x:v>
      </x:c>
      <x:c r="D12" s="14" t="n">
        <x:f>COUNTIFS('Test_Record'!$P$2:$P$481,$A12,'Test_Record'!$E$2:$E$481,"Small")</x:f>
        <x:v>0</x:v>
      </x:c>
      <x:c r="E12" s="14" t="n">
        <x:f>COUNTIFS('Test_Record'!$P$2:$P$481,$A12,'Test_Record'!$E$2:$E$481,"Normal")</x:f>
        <x:v>0</x:v>
      </x:c>
      <x:c r="F12" s="14" t="n">
        <x:f>COUNTIFS('Test_Record'!$P$2:$P$481,$A12,'Test_Record'!$E$2:$E$481,"Large")</x:f>
        <x:v>0</x:v>
      </x:c>
      <x:c r="G12" s="14" t="n">
        <x:f>COUNTIFS('Test_Record'!$P$2:$P$481,$A12,'Test_Record'!$B$2:$B$481,"A")</x:f>
        <x:v>0</x:v>
      </x:c>
      <x:c r="H12" s="14" t="n">
        <x:f>COUNTIFS('Test_Record'!$P$2:$P$481,$A12,'Test_Record'!$B$2:$B$481,"B")</x:f>
        <x:v>0</x:v>
      </x:c>
      <x:c r="I12" s="14" t="n">
        <x:f>COUNTIFS('Test_Record'!$P$2:$P$481,$A12,'Test_Record'!$B$2:$B$481,"C")</x:f>
        <x:v>0</x:v>
      </x:c>
      <x:c r="J12" s="14" t="n">
        <x:f>COUNTIFS('Test_Record'!$P$2:$P$481,$A12,'Test_Record'!$B$2:$B$481,"D")</x:f>
        <x:v>0</x:v>
      </x:c>
    </x:row>
    <x:row r="13">
      <x:c r="A13" s="11" t="str">
        <x:v>SYSTEM</x:v>
      </x:c>
      <x:c r="B13" s="14" t="n">
        <x:f>COUNTIF('Test_Record'!$P$2:$P$481,A13)</x:f>
        <x:v>0</x:v>
      </x:c>
      <x:c r="C13" s="79" t="n">
        <x:f>IFERROR(B13/COUNTIFS('Test_Record'!$P$2:$P$481,"&lt;&gt;NONE",'Test_Record'!$P$2:$P$481,"&lt;&gt;"),0)</x:f>
        <x:v>0</x:v>
      </x:c>
      <x:c r="D13" s="14" t="n">
        <x:f>COUNTIFS('Test_Record'!$P$2:$P$481,$A13,'Test_Record'!$E$2:$E$481,"Small")</x:f>
        <x:v>0</x:v>
      </x:c>
      <x:c r="E13" s="14" t="n">
        <x:f>COUNTIFS('Test_Record'!$P$2:$P$481,$A13,'Test_Record'!$E$2:$E$481,"Normal")</x:f>
        <x:v>0</x:v>
      </x:c>
      <x:c r="F13" s="14" t="n">
        <x:f>COUNTIFS('Test_Record'!$P$2:$P$481,$A13,'Test_Record'!$E$2:$E$481,"Large")</x:f>
        <x:v>0</x:v>
      </x:c>
      <x:c r="G13" s="14" t="n">
        <x:f>COUNTIFS('Test_Record'!$P$2:$P$481,$A13,'Test_Record'!$B$2:$B$481,"A")</x:f>
        <x:v>0</x:v>
      </x:c>
      <x:c r="H13" s="14" t="n">
        <x:f>COUNTIFS('Test_Record'!$P$2:$P$481,$A13,'Test_Record'!$B$2:$B$481,"B")</x:f>
        <x:v>0</x:v>
      </x:c>
      <x:c r="I13" s="14" t="n">
        <x:f>COUNTIFS('Test_Record'!$P$2:$P$481,$A13,'Test_Record'!$B$2:$B$481,"C")</x:f>
        <x:v>0</x:v>
      </x:c>
      <x:c r="J13" s="14" t="n">
        <x:f>COUNTIFS('Test_Record'!$P$2:$P$481,$A13,'Test_Record'!$B$2:$B$481,"D")</x:f>
        <x:v>0</x:v>
      </x:c>
    </x:row>
    <x:row r="14">
      <x:c r="A14" s="11" t="str">
        <x:v>OTHER</x:v>
      </x:c>
      <x:c r="B14" s="14" t="n">
        <x:f>COUNTIF('Test_Record'!$P$2:$P$481,A14)</x:f>
        <x:v>0</x:v>
      </x:c>
      <x:c r="C14" s="79" t="n">
        <x:f>IFERROR(B14/COUNTIFS('Test_Record'!$P$2:$P$481,"&lt;&gt;NONE",'Test_Record'!$P$2:$P$481,"&lt;&gt;"),0)</x:f>
        <x:v>0</x:v>
      </x:c>
      <x:c r="D14" s="14" t="n">
        <x:f>COUNTIFS('Test_Record'!$P$2:$P$481,$A14,'Test_Record'!$E$2:$E$481,"Small")</x:f>
        <x:v>0</x:v>
      </x:c>
      <x:c r="E14" s="14" t="n">
        <x:f>COUNTIFS('Test_Record'!$P$2:$P$481,$A14,'Test_Record'!$E$2:$E$481,"Normal")</x:f>
        <x:v>0</x:v>
      </x:c>
      <x:c r="F14" s="14" t="n">
        <x:f>COUNTIFS('Test_Record'!$P$2:$P$481,$A14,'Test_Record'!$E$2:$E$481,"Large")</x:f>
        <x:v>0</x:v>
      </x:c>
      <x:c r="G14" s="14" t="n">
        <x:f>COUNTIFS('Test_Record'!$P$2:$P$481,$A14,'Test_Record'!$B$2:$B$481,"A")</x:f>
        <x:v>0</x:v>
      </x:c>
      <x:c r="H14" s="14" t="n">
        <x:f>COUNTIFS('Test_Record'!$P$2:$P$481,$A14,'Test_Record'!$B$2:$B$481,"B")</x:f>
        <x:v>0</x:v>
      </x:c>
      <x:c r="I14" s="14" t="n">
        <x:f>COUNTIFS('Test_Record'!$P$2:$P$481,$A14,'Test_Record'!$B$2:$B$481,"C")</x:f>
        <x:v>0</x:v>
      </x:c>
      <x:c r="J14" s="14" t="n">
        <x:f>COUNTIFS('Test_Record'!$P$2:$P$481,$A14,'Test_Record'!$B$2:$B$481,"D")</x:f>
        <x:v>0</x:v>
      </x:c>
    </x:row>
    <x:row r="15">
      <x:c r="A15" s="80" t="str">
        <x:v>TOTAL</x:v>
      </x:c>
      <x:c r="B15" s="81" t="n">
        <x:f>SUM(B2:B14)</x:f>
        <x:v>0</x:v>
      </x:c>
      <x:c r="C15" s="82" t="n">
        <x:f>SUM(C2:C14)</x:f>
        <x:v>0</x:v>
      </x:c>
      <x:c r="D15" s="81" t="n">
        <x:f>SUM(D2:D14)</x:f>
        <x:v>0</x:v>
      </x:c>
      <x:c r="E15" s="81" t="n">
        <x:f>SUM(E2:E14)</x:f>
        <x:v>0</x:v>
      </x:c>
      <x:c r="F15" s="81" t="n">
        <x:f>SUM(F2:F14)</x:f>
        <x:v>0</x:v>
      </x:c>
      <x:c r="G15" s="81" t="n">
        <x:f>SUM(G2:G14)</x:f>
        <x:v>0</x:v>
      </x:c>
      <x:c r="H15" s="81" t="n">
        <x:f>SUM(H2:H14)</x:f>
        <x:v>0</x:v>
      </x:c>
      <x:c r="I15" s="81" t="n">
        <x:f>SUM(I2:I14)</x:f>
        <x:v>0</x:v>
      </x:c>
      <x:c r="J15" s="81" t="n">
        <x:f>SUM(J2:J14)</x:f>
        <x:v>0</x:v>
      </x:c>
    </x:row>
  </x:sheetData>
  <x:pageMargins left="0.7" right="0.7" top="0.75" bottom="0.75" header="0.3" footer="0.3"/>
  <x:drawing xmlns:r="http://schemas.openxmlformats.org/officeDocument/2006/relationships" r:id="R430e6c985340424e"/>
  <x:tableParts count="1">
    <x:tablePart xmlns:r="http://schemas.openxmlformats.org/officeDocument/2006/relationships" r:id="R8a24e508220849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29" hidden="0" customWidth="1"/>
    <x:col min="20" max="20" width="16" hidden="0" customWidth="1"/>
    <x:col min="21" max="21" width="16" hidden="0" customWidth="1"/>
    <x:col min="22" max="22" width="16" hidden="0" customWidth="1"/>
    <x:col min="23" max="23" width="25" hidden="0" customWidth="1"/>
  </x:cols>
  <x:sheetData>
    <x:row r="1">
      <x:c r="A1" s="15" t="str">
        <x:v>Sizes</x:v>
      </x:c>
      <x:c r="B1" s="16"/>
      <x:c r="C1" s="15" t="str">
        <x:v>Regions</x:v>
      </x:c>
      <x:c r="D1" s="16"/>
      <x:c r="E1" s="15" t="str">
        <x:v>Region_Order</x:v>
      </x:c>
      <x:c r="F1" s="16"/>
      <x:c r="G1" s="15" t="str">
        <x:v>Detected</x:v>
      </x:c>
      <x:c r="H1" s="16"/>
      <x:c r="I1" s="15" t="str">
        <x:v>Predicted_Size</x:v>
      </x:c>
      <x:c r="J1" s="16"/>
      <x:c r="K1" s="15" t="str">
        <x:v>System_Action</x:v>
      </x:c>
      <x:c r="L1" s="16"/>
      <x:c r="M1" s="15" t="str">
        <x:v>Yes_No_NA</x:v>
      </x:c>
      <x:c r="N1" s="16"/>
      <x:c r="O1" s="15" t="str">
        <x:v>Placement_Target</x:v>
      </x:c>
      <x:c r="P1" s="16"/>
      <x:c r="Q1" s="15" t="str">
        <x:v>Failure_Codes</x:v>
      </x:c>
      <x:c r="R1" s="16"/>
      <x:c r="S1" s="17" t="str">
        <x:v>Parameters</x:v>
      </x:c>
      <x:c r="T1" s="17" t="str">
        <x:v>Value</x:v>
      </x:c>
      <x:c r="U1" s="16"/>
      <x:c r="V1" s="17" t="str">
        <x:v>Sequence_Pattern</x:v>
      </x:c>
      <x:c r="W1" s="17" t="str">
        <x:v>Region_Sequence</x:v>
      </x:c>
    </x:row>
    <x:row r="2">
      <x:c r="A2" s="13" t="str">
        <x:v>Small</x:v>
      </x:c>
      <x:c r="B2" s="11"/>
      <x:c r="C2" s="13" t="str">
        <x:v>A</x:v>
      </x:c>
      <x:c r="D2" s="11"/>
      <x:c r="E2" s="13" t="n">
        <x:v>1</x:v>
      </x:c>
      <x:c r="F2" s="11"/>
      <x:c r="G2" s="13" t="str">
        <x:v>Yes</x:v>
      </x:c>
      <x:c r="H2" s="11"/>
      <x:c r="I2" s="13" t="str">
        <x:v>Small</x:v>
      </x:c>
      <x:c r="J2" s="11"/>
      <x:c r="K2" s="13" t="str">
        <x:v>Pick</x:v>
      </x:c>
      <x:c r="L2" s="11"/>
      <x:c r="M2" s="13" t="str">
        <x:v>Yes</x:v>
      </x:c>
      <x:c r="N2" s="11"/>
      <x:c r="O2" s="13" t="str">
        <x:v>Normal_Bin</x:v>
      </x:c>
      <x:c r="P2" s="11"/>
      <x:c r="Q2" s="13" t="str">
        <x:v>NONE</x:v>
      </x:c>
      <x:c r="R2" s="11"/>
      <x:c r="S2" s="11" t="str">
        <x:v>Default_Rounds</x:v>
      </x:c>
      <x:c r="T2" s="14" t="n">
        <x:v>20</x:v>
      </x:c>
      <x:c r="U2" s="11"/>
      <x:c r="V2" s="11" t="n">
        <x:v>1</x:v>
      </x:c>
      <x:c r="W2" s="11" t="str">
        <x:v>A → B → C → D</x:v>
      </x:c>
    </x:row>
    <x:row r="3">
      <x:c r="A3" s="13" t="str">
        <x:v>Normal</x:v>
      </x:c>
      <x:c r="B3" s="11"/>
      <x:c r="C3" s="13" t="str">
        <x:v>B</x:v>
      </x:c>
      <x:c r="D3" s="11"/>
      <x:c r="E3" s="13" t="n">
        <x:v>2</x:v>
      </x:c>
      <x:c r="F3" s="11"/>
      <x:c r="G3" s="13" t="str">
        <x:v>No</x:v>
      </x:c>
      <x:c r="H3" s="11"/>
      <x:c r="I3" s="13" t="str">
        <x:v>Normal</x:v>
      </x:c>
      <x:c r="J3" s="11"/>
      <x:c r="K3" s="13" t="str">
        <x:v>Skip</x:v>
      </x:c>
      <x:c r="L3" s="11"/>
      <x:c r="M3" s="13" t="str">
        <x:v>No</x:v>
      </x:c>
      <x:c r="N3" s="11"/>
      <x:c r="O3" s="13" t="str">
        <x:v>Large_Bin</x:v>
      </x:c>
      <x:c r="P3" s="11"/>
      <x:c r="Q3" s="13" t="str">
        <x:v>DETECTION</x:v>
      </x:c>
      <x:c r="R3" s="11"/>
      <x:c r="S3" s="11" t="str">
        <x:v>Max_Preformatted_Rounds</x:v>
      </x:c>
      <x:c r="T3" s="14" t="n">
        <x:v>40</x:v>
      </x:c>
      <x:c r="U3" s="11"/>
      <x:c r="V3" s="11" t="n">
        <x:v>2</x:v>
      </x:c>
      <x:c r="W3" s="11" t="str">
        <x:v>B → C → D → A</x:v>
      </x:c>
    </x:row>
    <x:row r="4">
      <x:c r="A4" s="13" t="str">
        <x:v>Large</x:v>
      </x:c>
      <x:c r="B4" s="11"/>
      <x:c r="C4" s="13" t="str">
        <x:v>C</x:v>
      </x:c>
      <x:c r="D4" s="11"/>
      <x:c r="E4" s="13" t="n">
        <x:v>3</x:v>
      </x:c>
      <x:c r="F4" s="11"/>
      <x:c r="G4" s="11"/>
      <x:c r="H4" s="11"/>
      <x:c r="I4" s="13" t="str">
        <x:v>Large</x:v>
      </x:c>
      <x:c r="J4" s="11"/>
      <x:c r="K4" s="13" t="str">
        <x:v>None</x:v>
      </x:c>
      <x:c r="L4" s="11"/>
      <x:c r="M4" s="13" t="str">
        <x:v>N/A</x:v>
      </x:c>
      <x:c r="N4" s="11"/>
      <x:c r="O4" s="13" t="str">
        <x:v>Wrong_Location</x:v>
      </x:c>
      <x:c r="P4" s="11"/>
      <x:c r="Q4" s="13" t="str">
        <x:v>SIZE_CLASS</x:v>
      </x:c>
      <x:c r="R4" s="11"/>
      <x:c r="S4" s="11" t="str">
        <x:v>Regions_Per_Round</x:v>
      </x:c>
      <x:c r="T4" s="14" t="n">
        <x:v>4</x:v>
      </x:c>
      <x:c r="U4" s="11"/>
      <x:c r="V4" s="11" t="n">
        <x:v>3</x:v>
      </x:c>
      <x:c r="W4" s="11" t="str">
        <x:v>C → D → A → B</x:v>
      </x:c>
    </x:row>
    <x:row r="5">
      <x:c r="A5" s="11"/>
      <x:c r="B5" s="11"/>
      <x:c r="C5" s="13" t="str">
        <x:v>D</x:v>
      </x:c>
      <x:c r="D5" s="11"/>
      <x:c r="E5" s="13" t="n">
        <x:v>4</x:v>
      </x:c>
      <x:c r="F5" s="11"/>
      <x:c r="G5" s="11"/>
      <x:c r="H5" s="11"/>
      <x:c r="I5" s="13" t="str">
        <x:v>Unknown</x:v>
      </x:c>
      <x:c r="J5" s="11"/>
      <x:c r="K5" s="11"/>
      <x:c r="L5" s="11"/>
      <x:c r="M5" s="11"/>
      <x:c r="N5" s="11"/>
      <x:c r="O5" s="13" t="str">
        <x:v>N/A</x:v>
      </x:c>
      <x:c r="P5" s="11"/>
      <x:c r="Q5" s="13" t="str">
        <x:v>WRONG_SKIP</x:v>
      </x:c>
      <x:c r="R5" s="11"/>
      <x:c r="S5" s="11" t="str">
        <x:v>Objects_Per_Region</x:v>
      </x:c>
      <x:c r="T5" s="14" t="n">
        <x:v>3</x:v>
      </x:c>
      <x:c r="U5" s="11"/>
      <x:c r="V5" s="11" t="n">
        <x:v>4</x:v>
      </x:c>
      <x:c r="W5" s="11" t="str">
        <x:v>D → A → B → C</x:v>
      </x:c>
    </x:row>
    <x:row r="6">
      <x:c r="A6" s="11"/>
      <x:c r="B6" s="11"/>
      <x:c r="C6" s="11"/>
      <x:c r="D6" s="11"/>
      <x:c r="E6" s="11"/>
      <x:c r="F6" s="11"/>
      <x:c r="G6" s="11"/>
      <x:c r="H6" s="11"/>
      <x:c r="I6" s="13" t="str">
        <x:v>N/A</x:v>
      </x:c>
      <x:c r="J6" s="11"/>
      <x:c r="K6" s="11"/>
      <x:c r="L6" s="11"/>
      <x:c r="M6" s="11"/>
      <x:c r="N6" s="11"/>
      <x:c r="O6" s="11"/>
      <x:c r="P6" s="11"/>
      <x:c r="Q6" s="13" t="str">
        <x:v>WRONG_PICK</x:v>
      </x:c>
      <x:c r="R6" s="11"/>
      <x:c r="S6" s="11" t="str">
        <x:v>Expected_Objects_Per_Round</x:v>
      </x:c>
      <x:c r="T6" s="14" t="n">
        <x:f>T4*T5</x:f>
        <x:v>12</x:v>
      </x:c>
      <x:c r="U6" s="11"/>
      <x:c r="V6" s="11"/>
      <x:c r="W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3" t="str">
        <x:v>PLAN</x:v>
      </x:c>
      <x:c r="R7" s="11"/>
      <x:c r="S7" s="11"/>
      <x:c r="T7" s="11"/>
      <x:c r="U7" s="11"/>
      <x:c r="V7" s="11"/>
      <x:c r="W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3" t="str">
        <x:v>POSITION</x:v>
      </x:c>
      <x:c r="R8" s="11"/>
      <x:c r="S8" s="11"/>
      <x:c r="T8" s="11"/>
      <x:c r="U8" s="11"/>
      <x:c r="V8" s="11"/>
      <x:c r="W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3" t="str">
        <x:v>GRASP</x:v>
      </x:c>
      <x:c r="R9" s="11"/>
      <x:c r="S9" s="11"/>
      <x:c r="T9" s="11"/>
      <x:c r="U9" s="11"/>
      <x:c r="V9" s="11"/>
      <x:c r="W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3" t="str">
        <x:v>DROP</x:v>
      </x:c>
      <x:c r="R10" s="11"/>
      <x:c r="S10" s="11"/>
      <x:c r="T10" s="11"/>
      <x:c r="U10" s="11"/>
      <x:c r="V10" s="11"/>
      <x:c r="W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3" t="str">
        <x:v>PLACE</x:v>
      </x:c>
      <x:c r="R11" s="11"/>
      <x:c r="S11" s="11"/>
      <x:c r="T11" s="11"/>
      <x:c r="U11" s="11"/>
      <x:c r="V11" s="11"/>
      <x:c r="W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3" t="str">
        <x:v>WRONG_BIN</x:v>
      </x:c>
      <x:c r="R12" s="11"/>
      <x:c r="S12" s="11"/>
      <x:c r="T12" s="11"/>
      <x:c r="U12" s="11"/>
      <x:c r="V12" s="11"/>
      <x:c r="W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3" t="str">
        <x:v>COLLISION</x:v>
      </x:c>
      <x:c r="R13" s="11"/>
      <x:c r="S13" s="11"/>
      <x:c r="T13" s="11"/>
      <x:c r="U13" s="11"/>
      <x:c r="V13" s="11"/>
      <x:c r="W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3" t="str">
        <x:v>SYSTEM</x:v>
      </x:c>
      <x:c r="R14" s="11"/>
      <x:c r="S14" s="11"/>
      <x:c r="T14" s="11"/>
      <x:c r="U14" s="11"/>
      <x:c r="V14" s="11"/>
      <x:c r="W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3" t="str">
        <x:v>OTHER</x:v>
      </x:c>
      <x:c r="R15" s="11"/>
      <x:c r="S15" s="11"/>
      <x:c r="T15" s="11"/>
      <x:c r="U15" s="11"/>
      <x:c r="V15" s="11"/>
      <x:c r="W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84" t="str">
        <x:v>采蘑菇机械臂抓取成功率测试｜使用说明</x:v>
      </x:c>
      <x:c r="B1" s="84"/>
      <x:c r="C1" s="84"/>
      <x:c r="D1" s="84"/>
      <x:c r="E1" s="84"/>
      <x:c r="F1" s="84"/>
      <x:c r="G1" s="84"/>
      <x:c r="H1" s="84"/>
    </x:row>
    <x:row r="2">
      <x:c r="A2" s="84"/>
      <x:c r="B2" s="84"/>
      <x:c r="C2" s="84"/>
      <x:c r="D2" s="84"/>
      <x:c r="E2" s="84"/>
      <x:c r="F2" s="84"/>
      <x:c r="G2" s="84"/>
      <x:c r="H2" s="84"/>
    </x:row>
    <x:row r="4">
      <x:c r="A4" s="46" t="str">
        <x:v>Test unit / 测试单元</x:v>
      </x:c>
      <x:c r="B4" s="46"/>
      <x:c r="C4" s="46"/>
      <x:c r="D4" s="46"/>
      <x:c r="E4" s="46"/>
      <x:c r="F4" s="46"/>
      <x:c r="G4" s="46"/>
      <x:c r="H4" s="46"/>
    </x:row>
    <x:row r="5">
      <x:c r="A5" s="93" t="str">
        <x:v>一次完整处理 A/B/C/D 四个区域定义为一轮（1 Round）。</x:v>
      </x:c>
      <x:c r="B5" s="94"/>
      <x:c r="C5" s="94"/>
      <x:c r="D5" s="94"/>
      <x:c r="E5" s="94"/>
      <x:c r="F5" s="94"/>
      <x:c r="G5" s="94"/>
      <x:c r="H5" s="95"/>
    </x:row>
    <x:row r="7">
      <x:c r="A7" s="46" t="str">
        <x:v>Default setup / 默认布置</x:v>
      </x:c>
      <x:c r="B7" s="46"/>
      <x:c r="C7" s="46"/>
      <x:c r="D7" s="46"/>
      <x:c r="E7" s="46"/>
      <x:c r="F7" s="46"/>
      <x:c r="G7" s="46"/>
      <x:c r="H7" s="46"/>
    </x:row>
    <x:row r="8">
      <x:c r="A8" s="93" t="str">
        <x:v>每个区域放置 1 Small、1 Normal、1 Large；每轮共 12 个对象。</x:v>
      </x:c>
      <x:c r="B8" s="94"/>
      <x:c r="C8" s="94"/>
      <x:c r="D8" s="94"/>
      <x:c r="E8" s="94"/>
      <x:c r="F8" s="94"/>
      <x:c r="G8" s="94"/>
      <x:c r="H8" s="95"/>
    </x:row>
    <x:row r="10">
      <x:c r="A10" s="46" t="str">
        <x:v>Correct behavior / 正确行为</x:v>
      </x:c>
      <x:c r="B10" s="46"/>
      <x:c r="C10" s="46"/>
      <x:c r="D10" s="46"/>
      <x:c r="E10" s="46"/>
      <x:c r="F10" s="46"/>
      <x:c r="G10" s="46"/>
      <x:c r="H10" s="46"/>
    </x:row>
    <x:row r="11" ht="62" customHeight="1">
      <x:c r="A11" s="93" t="str">
        <x:v>Small：Detection / classification → Skip
Normal：Detection → Normal classification → Pick → Transfer → Normal_Bin
Large：Detection → Large classification → Pick → Transfer → Large_Bin</x:v>
      </x:c>
      <x:c r="B11" s="94"/>
      <x:c r="C11" s="94"/>
      <x:c r="D11" s="94"/>
      <x:c r="E11" s="94"/>
      <x:c r="F11" s="94"/>
      <x:c r="G11" s="94"/>
      <x:c r="H11" s="95"/>
    </x:row>
    <x:row r="14">
      <x:c r="A14" s="46" t="str">
        <x:v>Test procedure / 测试流程</x:v>
      </x:c>
      <x:c r="B14" s="46"/>
      <x:c r="C14" s="46"/>
      <x:c r="D14" s="46"/>
      <x:c r="E14" s="46"/>
      <x:c r="F14" s="46"/>
      <x:c r="G14" s="46"/>
      <x:c r="H14" s="46"/>
    </x:row>
    <x:row r="15" ht="150" customHeight="1">
      <x:c r="A15" s="93" t="str">
        <x:v>1. 机械臂恢复统一初始状态。
2. A/B/C/D 各放置 Small、Normal、Large 各一个。
3. 人工确认 Ground Truth。
4. 每轮适当改变蘑菇在区域中的具体位置。
5. 按预定 Region Sequence 依次执行。
6. 优先使用“抓完当前区域”的完整自动流程。
7. 正式测试期间除安全问题外不要人工干预。
8. 每轮完成后重新摆放蘑菇。
9. 至少完成 20 轮。</x:v>
      </x:c>
      <x:c r="B15" s="94"/>
      <x:c r="C15" s="94"/>
      <x:c r="D15" s="94"/>
      <x:c r="E15" s="94"/>
      <x:c r="F15" s="94"/>
      <x:c r="G15" s="94"/>
      <x:c r="H15" s="95"/>
    </x:row>
    <x:row r="17">
      <x:c r="A17" s="46" t="str">
        <x:v>Metric definitions / 指标口径</x:v>
      </x:c>
      <x:c r="B17" s="46"/>
      <x:c r="C17" s="46"/>
      <x:c r="D17" s="46"/>
      <x:c r="E17" s="46"/>
      <x:c r="F17" s="46"/>
      <x:c r="G17" s="46"/>
      <x:c r="H17" s="46"/>
    </x:row>
    <x:row r="18" ht="90" customHeight="1">
      <x:c r="A18" s="93" t="str">
        <x:v>抓取成功率分母：Ground_Truth_Size 为 Normal/Large 且 System_Action=Pick 的实际抓取任务。
分类准确率分母：Detected=Yes 的对象。
检测率分母：Detected 已填写的对象。
端到端成功率分母：Task_Success 已自动判定为 Yes/No 的对象。
Completed Rounds：12 个对象的 Detected 均已填写的轮次。</x:v>
      </x:c>
      <x:c r="B18" s="94"/>
      <x:c r="C18" s="94"/>
      <x:c r="D18" s="94"/>
      <x:c r="E18" s="94"/>
      <x:c r="F18" s="94"/>
      <x:c r="G18" s="94"/>
      <x:c r="H18" s="95"/>
    </x:row>
    <x:row r="20">
      <x:c r="A20" s="46" t="str">
        <x:v>Data entry / 数据录入</x:v>
      </x:c>
      <x:c r="B20" s="46"/>
      <x:c r="C20" s="46"/>
      <x:c r="D20" s="46"/>
      <x:c r="E20" s="46"/>
      <x:c r="F20" s="46"/>
      <x:c r="G20" s="46"/>
      <x:c r="H20" s="46"/>
    </x:row>
    <x:row r="21" ht="64" customHeight="1">
      <x:c r="A21" s="93" t="str">
        <x:v>浅黄色/白色输入列由测试人员填写；Object_ID 与 Task_Success 为公式列，请勿覆盖。前 20 轮已预填，表格与公式预留至 40 轮（第 481 行）。Failure_Code 默认 NONE，任务失败时请改为具体失败类型。</x:v>
      </x:c>
      <x:c r="B21" s="94"/>
      <x:c r="C21" s="94"/>
      <x:c r="D21" s="94"/>
      <x:c r="E21" s="94"/>
      <x:c r="F21" s="94"/>
      <x:c r="G21" s="94"/>
      <x:c r="H21" s="95"/>
    </x:row>
    <x:row r="23">
      <x:c r="A23" s="46" t="str">
        <x:v>Important note / 重要提示</x:v>
      </x:c>
      <x:c r="B23" s="46"/>
      <x:c r="C23" s="46"/>
      <x:c r="D23" s="46"/>
      <x:c r="E23" s="46"/>
      <x:c r="F23" s="46"/>
      <x:c r="G23" s="46"/>
      <x:c r="H23" s="46"/>
    </x:row>
    <x:row r="24" ht="50" customHeight="1">
      <x:c r="A24" s="93" t="str">
        <x:v>不要每轮把蘑菇放在完全相同的位置，否则测试只验证几个固定坐标，不能充分反映整个区域的抓取能力。</x:v>
      </x:c>
      <x:c r="B24" s="94"/>
      <x:c r="C24" s="94"/>
      <x:c r="D24" s="94"/>
      <x:c r="E24" s="94"/>
      <x:c r="F24" s="94"/>
      <x:c r="G24" s="94"/>
      <x:c r="H24" s="95"/>
    </x:row>
  </x:sheetData>
  <x:mergeCells>
    <x:mergeCell ref="A1:H2"/>
    <x:mergeCell ref="A4:H4"/>
    <x:mergeCell ref="A5:H5"/>
    <x:mergeCell ref="A7:H7"/>
    <x:mergeCell ref="A8:H8"/>
    <x:mergeCell ref="A10:H10"/>
    <x:mergeCell ref="A11:H11"/>
    <x:mergeCell ref="A14:H14"/>
    <x:mergeCell ref="A15:H15"/>
    <x:mergeCell ref="A17:H17"/>
    <x:mergeCell ref="A18:H18"/>
    <x:mergeCell ref="A20:H20"/>
    <x:mergeCell ref="A21:H21"/>
    <x:mergeCell ref="A23:H23"/>
    <x:mergeCell ref="A24:H24"/>
  </x:mergeCells>
  <x:pageMargins left="0.7" right="0.7" top="0.75" bottom="0.75" header="0.3" footer="0.3"/>
</x:worksheet>
</file>